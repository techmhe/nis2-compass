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ject Overview" sheetId="1" state="visible" r:id="rId1"/>
    <sheet xmlns:r="http://schemas.openxmlformats.org/officeDocument/2006/relationships" name="Dashboard" sheetId="2" state="visible" r:id="rId2"/>
    <sheet xmlns:r="http://schemas.openxmlformats.org/officeDocument/2006/relationships" name="Gantt" sheetId="3" state="visible" r:id="rId3"/>
    <sheet xmlns:r="http://schemas.openxmlformats.org/officeDocument/2006/relationships" name="Master Plan" sheetId="4" state="visible" r:id="rId4"/>
    <sheet xmlns:r="http://schemas.openxmlformats.org/officeDocument/2006/relationships" name="Work Packages" sheetId="5" state="visible" r:id="rId5"/>
    <sheet xmlns:r="http://schemas.openxmlformats.org/officeDocument/2006/relationships" name="Governance and Gates" sheetId="6" state="visible" r:id="rId6"/>
    <sheet xmlns:r="http://schemas.openxmlformats.org/officeDocument/2006/relationships" name="Risks Issues Decisions" sheetId="7" state="visible" r:id="rId7"/>
    <sheet xmlns:r="http://schemas.openxmlformats.org/officeDocument/2006/relationships" name="Lists" sheetId="8" state="visible" r:id="rId8"/>
    <sheet xmlns:r="http://schemas.openxmlformats.org/officeDocument/2006/relationships" name="Instructions" sheetId="9" state="visible" r:id="rId9"/>
  </sheets>
  <definedNames>
    <definedName name="lstArea" hidden="0" function="0" vbProcedure="0">Lists!$L$6:$L$18</definedName>
    <definedName name="lstEntity" hidden="0" function="0" vbProcedure="0">Lists!$E$6:$E$10</definedName>
    <definedName name="lstGate" hidden="0" function="0" vbProcedure="0">Lists!$D$6:$D$11</definedName>
    <definedName name="lstOwner" hidden="0" function="0" vbProcedure="0">Lists!$F$6:$F$18</definedName>
    <definedName name="lstPhase" hidden="0" function="0" vbProcedure="0">Lists!$C$6:$C$11</definedName>
    <definedName name="lstPriority" hidden="0" function="0" vbProcedure="0">Lists!$B$6:$B$8</definedName>
    <definedName name="lstRaci" hidden="0" function="0" vbProcedure="0">Lists!$J$6:$J$11</definedName>
    <definedName name="lstRating" hidden="0" function="0" vbProcedure="0">Lists!$I$6:$I$8</definedName>
    <definedName name="lstRecord" hidden="0" function="0" vbProcedure="0">Lists!$H$6:$H$8</definedName>
    <definedName name="lstRiskStat" hidden="0" function="0" vbProcedure="0">Lists!$M$6:$M$10</definedName>
    <definedName name="lstScope" hidden="0" function="0" vbProcedure="0">Lists!$G$6:$G$7</definedName>
    <definedName name="lstStatus" hidden="0" function="0" vbProcedure="0">Lists!$A$6:$A$11</definedName>
    <definedName name="lstYesNo" hidden="0" function="0" vbProcedure="0">Lists!$K$6:$K$7</definedName>
    <definedName name="_xlnm.Print_Titles" localSheetId="0">'Project Overview'!$5:$5</definedName>
    <definedName name="_xlnm.Print_Titles" localSheetId="3">'Master Plan'!$5:$5</definedName>
    <definedName name="_xlnm.Print_Titles" localSheetId="4">'Work Packages'!$5:$5</definedName>
    <definedName name="_xlnm.Print_Titles" localSheetId="5">'Governance and Gates'!$5:$5</definedName>
    <definedName name="_xlnm.Print_Titles" localSheetId="6">'Risks Issues Decisions'!$5:$5</definedName>
    <definedName name="_xlnm.Print_Titles" localSheetId="7">'Lists'!$5:$5</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yyyy\-mm\-dd"/>
    <numFmt numFmtId="165" formatCode="dd"/>
  </numFmts>
  <fonts count="17">
    <font>
      <name val="Calibri"/>
      <charset val="1"/>
      <family val="2"/>
      <color theme="1"/>
      <sz val="11"/>
    </font>
    <font>
      <name val="Arial"/>
      <family val="0"/>
      <sz val="10"/>
    </font>
    <font>
      <name val="Arial"/>
      <family val="0"/>
      <sz val="10"/>
    </font>
    <font>
      <name val="Arial"/>
      <family val="0"/>
      <sz val="10"/>
    </font>
    <font>
      <name val="Arial"/>
      <charset val="1"/>
      <family val="2"/>
      <b val="1"/>
      <color rgb="FF1F4E79"/>
      <sz val="16"/>
    </font>
    <font>
      <name val="Arial"/>
      <charset val="1"/>
      <family val="2"/>
      <b val="1"/>
      <color rgb="FF1F4E79"/>
      <sz val="12"/>
    </font>
    <font>
      <name val="Arial"/>
      <charset val="1"/>
      <family val="2"/>
      <color rgb="FF595959"/>
      <sz val="9"/>
    </font>
    <font>
      <name val="Arial"/>
      <charset val="1"/>
      <family val="2"/>
      <b val="1"/>
      <color rgb="FF1F4E79"/>
      <sz val="10"/>
    </font>
    <font>
      <name val="Arial"/>
      <charset val="1"/>
      <family val="2"/>
      <b val="1"/>
      <sz val="10"/>
    </font>
    <font>
      <name val="Arial"/>
      <charset val="1"/>
      <family val="2"/>
      <sz val="10"/>
    </font>
    <font>
      <name val="Arial"/>
      <charset val="1"/>
      <family val="0"/>
      <b val="1"/>
      <color rgb="FF1F3864"/>
      <sz val="14"/>
    </font>
    <font>
      <name val="Arial"/>
      <charset val="1"/>
      <family val="0"/>
      <b val="1"/>
      <color rgb="FF1F3864"/>
      <sz val="11"/>
    </font>
    <font>
      <name val="Arial"/>
      <charset val="1"/>
      <family val="0"/>
      <i val="1"/>
      <color rgb="FF7F7F7F"/>
      <sz val="9"/>
    </font>
    <font>
      <name val="Arial"/>
      <charset val="1"/>
      <family val="0"/>
      <b val="1"/>
      <color rgb="FF1F3864"/>
      <sz val="9"/>
    </font>
    <font>
      <name val="Arial"/>
      <charset val="1"/>
      <family val="0"/>
      <b val="1"/>
      <color rgb="FFFFFFFF"/>
      <sz val="10"/>
    </font>
    <font>
      <name val="Arial"/>
      <charset val="1"/>
      <family val="0"/>
      <b val="1"/>
      <sz val="8"/>
    </font>
    <font>
      <name val="Arial"/>
      <charset val="1"/>
      <family val="0"/>
      <sz val="10"/>
    </font>
  </fonts>
  <fills count="5">
    <fill>
      <patternFill/>
    </fill>
    <fill>
      <patternFill patternType="gray125"/>
    </fill>
    <fill>
      <patternFill patternType="solid">
        <fgColor rgb="FF1F4E79"/>
        <bgColor rgb="FF1F3864"/>
      </patternFill>
    </fill>
    <fill>
      <patternFill patternType="solid">
        <fgColor rgb="FFD9E2F0"/>
        <bgColor rgb="FFDDEBF7"/>
      </patternFill>
    </fill>
    <fill>
      <patternFill patternType="solid">
        <fgColor rgb="FF1F3864"/>
        <bgColor rgb="FF1F4E7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2">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2" borderId="0" applyAlignment="1" pivotButton="0" quotePrefix="0" xfId="0">
      <alignment horizontal="general" vertical="bottom"/>
    </xf>
    <xf numFmtId="0" fontId="7" fillId="3" borderId="1" applyAlignment="1" pivotButton="0" quotePrefix="0" xfId="0">
      <alignment horizontal="center" vertical="center" wrapText="1"/>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164" fontId="9" fillId="0" borderId="1" applyAlignment="1" pivotButton="0" quotePrefix="0" xfId="0">
      <alignment horizontal="left" vertical="top" wrapText="1"/>
    </xf>
    <xf numFmtId="0" fontId="8" fillId="0" borderId="0" applyAlignment="1" pivotButton="0" quotePrefix="0" xfId="0">
      <alignment horizontal="general" vertical="bottom"/>
    </xf>
    <xf numFmtId="164" fontId="8" fillId="0" borderId="0" applyAlignment="1" pivotButton="0" quotePrefix="0" xfId="0">
      <alignment horizontal="general" vertical="bottom"/>
    </xf>
    <xf numFmtId="0" fontId="9" fillId="0" borderId="1" applyAlignment="1" pivotButton="0" quotePrefix="0" xfId="0">
      <alignment horizontal="general" vertical="top"/>
    </xf>
    <xf numFmtId="1" fontId="9" fillId="0" borderId="1" applyAlignment="1" pivotButton="0" quotePrefix="0" xfId="0">
      <alignment horizontal="general" vertical="top"/>
    </xf>
    <xf numFmtId="1" fontId="9" fillId="0" borderId="1" applyAlignment="1" pivotButton="0" quotePrefix="0" xfId="0">
      <alignment horizontal="center" vertical="center" wrapText="1"/>
    </xf>
    <xf numFmtId="9" fontId="9" fillId="0" borderId="1" applyAlignment="1" pivotButton="0" quotePrefix="0" xfId="0">
      <alignment horizontal="center" vertical="center" wrapText="1"/>
    </xf>
    <xf numFmtId="9" fontId="9" fillId="0" borderId="1" applyAlignment="1" pivotButton="0" quotePrefix="0" xfId="0">
      <alignment horizontal="general" vertical="top"/>
    </xf>
    <xf numFmtId="0" fontId="9" fillId="0" borderId="1" applyAlignment="1" pivotButton="0" quotePrefix="0" xfId="0">
      <alignment horizontal="center" vertical="center" wrapText="1"/>
    </xf>
    <xf numFmtId="164" fontId="9" fillId="0" borderId="1" applyAlignment="1" pivotButton="0" quotePrefix="0" xfId="0">
      <alignment horizontal="center" vertical="center" wrapText="1"/>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14" fillId="4" borderId="1" applyAlignment="1" pivotButton="0" quotePrefix="0" xfId="0">
      <alignment horizontal="general" vertical="center"/>
    </xf>
    <xf numFmtId="165" fontId="15" fillId="3" borderId="1" applyAlignment="1" pivotButton="0" quotePrefix="0" xfId="0">
      <alignment horizontal="center" vertical="bottom"/>
    </xf>
    <xf numFmtId="0" fontId="16" fillId="0" borderId="1" applyAlignment="1" pivotButton="0" quotePrefix="0" xfId="0">
      <alignment horizontal="general" vertical="bottom"/>
    </xf>
    <xf numFmtId="164" fontId="16" fillId="0" borderId="1" applyAlignment="1" pivotButton="0" quotePrefix="0" xfId="0">
      <alignment horizontal="general" vertical="bottom"/>
    </xf>
    <xf numFmtId="0" fontId="0" fillId="0" borderId="1" applyAlignment="1" pivotButton="0" quotePrefix="0" xfId="0">
      <alignment horizontal="general" vertical="bottom"/>
    </xf>
    <xf numFmtId="0" fontId="9" fillId="0" borderId="1" applyAlignment="1" applyProtection="1" pivotButton="0" quotePrefix="0" xfId="0">
      <alignment horizontal="center" vertical="center" wrapText="1"/>
      <protection locked="0" hidden="0"/>
    </xf>
    <xf numFmtId="0" fontId="9" fillId="0" borderId="1" applyAlignment="1" applyProtection="1" pivotButton="0" quotePrefix="0" xfId="0">
      <alignment horizontal="general" vertical="top" wrapText="1"/>
      <protection locked="0" hidden="0"/>
    </xf>
    <xf numFmtId="164" fontId="9" fillId="0" borderId="1" applyAlignment="1" applyProtection="1" pivotButton="0" quotePrefix="0" xfId="0">
      <alignment horizontal="center" vertical="center" wrapText="1"/>
      <protection locked="0" hidden="0"/>
    </xf>
    <xf numFmtId="9" fontId="9" fillId="0"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0" fontId="9" fillId="0" borderId="1" applyAlignment="1" pivotButton="0" quotePrefix="0" xfId="0">
      <alignment horizontal="center" vertical="center" wrapText="1"/>
    </xf>
    <xf numFmtId="0" fontId="8" fillId="0" borderId="1" applyAlignment="1" applyProtection="1" pivotButton="0" quotePrefix="0" xfId="0">
      <alignment horizontal="general" vertical="top"/>
      <protection locked="0" hidden="0"/>
    </xf>
    <xf numFmtId="0" fontId="9" fillId="0" borderId="1" applyAlignment="1" applyProtection="1" pivotButton="0" quotePrefix="0" xfId="0">
      <alignment horizontal="general" vertical="top"/>
      <protection locked="0" hidden="0"/>
    </xf>
    <xf numFmtId="0" fontId="16"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2" borderId="0" applyAlignment="1" pivotButton="0" quotePrefix="0" xfId="0">
      <alignment horizontal="general" vertical="bottom"/>
    </xf>
    <xf numFmtId="0" fontId="7" fillId="3" borderId="1" applyAlignment="1" pivotButton="0" quotePrefix="0" xfId="0">
      <alignment horizontal="center" vertical="center" wrapText="1"/>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164" fontId="9" fillId="0" borderId="1" applyAlignment="1" pivotButton="0" quotePrefix="0" xfId="0">
      <alignment horizontal="left" vertical="top" wrapText="1"/>
    </xf>
    <xf numFmtId="0" fontId="8" fillId="0" borderId="0" applyAlignment="1" pivotButton="0" quotePrefix="0" xfId="0">
      <alignment horizontal="general" vertical="bottom"/>
    </xf>
    <xf numFmtId="164" fontId="8" fillId="0" borderId="0" applyAlignment="1" pivotButton="0" quotePrefix="0" xfId="0">
      <alignment horizontal="general" vertical="bottom"/>
    </xf>
    <xf numFmtId="0" fontId="9" fillId="0" borderId="1" applyAlignment="1" pivotButton="0" quotePrefix="0" xfId="0">
      <alignment horizontal="general" vertical="top"/>
    </xf>
    <xf numFmtId="1" fontId="9" fillId="0" borderId="1" applyAlignment="1" pivotButton="0" quotePrefix="0" xfId="0">
      <alignment horizontal="general" vertical="top"/>
    </xf>
    <xf numFmtId="1" fontId="9" fillId="0" borderId="1" applyAlignment="1" pivotButton="0" quotePrefix="0" xfId="0">
      <alignment horizontal="center" vertical="center" wrapText="1"/>
    </xf>
    <xf numFmtId="9" fontId="9" fillId="0" borderId="1" applyAlignment="1" pivotButton="0" quotePrefix="0" xfId="0">
      <alignment horizontal="center" vertical="center" wrapText="1"/>
    </xf>
    <xf numFmtId="9" fontId="9" fillId="0" borderId="1" applyAlignment="1" pivotButton="0" quotePrefix="0" xfId="0">
      <alignment horizontal="general" vertical="top"/>
    </xf>
    <xf numFmtId="0" fontId="9" fillId="0" borderId="1" applyAlignment="1" pivotButton="0" quotePrefix="0" xfId="0">
      <alignment horizontal="center" vertical="center" wrapText="1"/>
    </xf>
    <xf numFmtId="164" fontId="9" fillId="0" borderId="1" applyAlignment="1" pivotButton="0" quotePrefix="0" xfId="0">
      <alignment horizontal="center" vertical="center" wrapText="1"/>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14" fillId="4" borderId="1" applyAlignment="1" pivotButton="0" quotePrefix="0" xfId="0">
      <alignment horizontal="general" vertical="center"/>
    </xf>
    <xf numFmtId="165" fontId="15" fillId="3" borderId="1" applyAlignment="1" pivotButton="0" quotePrefix="0" xfId="0">
      <alignment horizontal="center" vertical="bottom"/>
    </xf>
    <xf numFmtId="0" fontId="16" fillId="0" borderId="1" applyAlignment="1" pivotButton="0" quotePrefix="0" xfId="0">
      <alignment horizontal="general" vertical="bottom"/>
    </xf>
    <xf numFmtId="164" fontId="16" fillId="0" borderId="1" applyAlignment="1" pivotButton="0" quotePrefix="0" xfId="0">
      <alignment horizontal="general" vertical="bottom"/>
    </xf>
    <xf numFmtId="0" fontId="0" fillId="0" borderId="1" applyAlignment="1" pivotButton="0" quotePrefix="0" xfId="0">
      <alignment horizontal="general" vertical="bottom"/>
    </xf>
    <xf numFmtId="0" fontId="9" fillId="0" borderId="1" applyAlignment="1" applyProtection="1" pivotButton="0" quotePrefix="0" xfId="0">
      <alignment horizontal="center" vertical="center" wrapText="1"/>
      <protection locked="0" hidden="0"/>
    </xf>
    <xf numFmtId="0" fontId="9" fillId="0" borderId="1" applyAlignment="1" applyProtection="1" pivotButton="0" quotePrefix="0" xfId="0">
      <alignment horizontal="general" vertical="top" wrapText="1"/>
      <protection locked="0" hidden="0"/>
    </xf>
    <xf numFmtId="164" fontId="9" fillId="0" borderId="1" applyAlignment="1" applyProtection="1" pivotButton="0" quotePrefix="0" xfId="0">
      <alignment horizontal="center" vertical="center" wrapText="1"/>
      <protection locked="0" hidden="0"/>
    </xf>
    <xf numFmtId="9" fontId="9" fillId="0"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general" vertical="top"/>
      <protection locked="0" hidden="0"/>
    </xf>
    <xf numFmtId="0" fontId="9" fillId="0" borderId="1" applyAlignment="1" applyProtection="1" pivotButton="0" quotePrefix="0" xfId="0">
      <alignment horizontal="general" vertical="top"/>
      <protection locked="0" hidden="0"/>
    </xf>
    <xf numFmtId="0" fontId="16"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8">
    <dxf>
      <fill>
        <patternFill patternType="solid">
          <fgColor rgb="FFD9E2F0"/>
          <bgColor rgb="FF000000"/>
        </patternFill>
      </fill>
    </dxf>
    <dxf>
      <fill>
        <patternFill patternType="solid">
          <bgColor rgb="FF000000"/>
        </patternFill>
      </fill>
    </dxf>
    <dxf>
      <fill>
        <patternFill patternType="solid">
          <fgColor rgb="FF1F4E79"/>
          <bgColor rgb="FF000000"/>
        </patternFill>
      </fill>
    </dxf>
    <dxf>
      <font>
        <name val="Arial"/>
        <charset val="1"/>
        <family val="0"/>
        <b val="1"/>
        <color rgb="FF9C0006"/>
        <sz val="10"/>
      </font>
      <fill>
        <patternFill>
          <bgColor rgb="FFFDE9E9"/>
        </patternFill>
      </fill>
    </dxf>
    <dxf>
      <font>
        <name val="Arial"/>
        <charset val="1"/>
        <family val="0"/>
        <color rgb="FF375623"/>
        <sz val="10"/>
      </font>
      <fill>
        <patternFill>
          <bgColor rgb="FFE2EFDA"/>
        </patternFill>
      </fill>
    </dxf>
    <dxf>
      <font>
        <name val="Arial"/>
        <charset val="1"/>
        <family val="0"/>
        <color rgb="FF7F6000"/>
        <sz val="10"/>
      </font>
      <fill>
        <patternFill>
          <bgColor rgb="FFFFF2CC"/>
        </patternFill>
      </fill>
    </dxf>
    <dxf>
      <font>
        <name val="Arial"/>
        <charset val="1"/>
        <family val="0"/>
        <i val="1"/>
        <color rgb="FF808080"/>
        <sz val="10"/>
      </font>
    </dxf>
    <dxf>
      <fill>
        <patternFill>
          <bgColor rgb="FFE2EFDA"/>
        </patternFill>
      </fill>
    </dxf>
    <dxf>
      <fill>
        <patternFill>
          <bgColor rgb="FFFFF2CC"/>
        </patternFill>
      </fill>
    </dxf>
    <dxf>
      <fill>
        <patternFill>
          <bgColor rgb="FFFDE9E9"/>
        </patternFill>
      </fill>
    </dxf>
    <dxf>
      <fill>
        <patternFill>
          <bgColor rgb="FFF2F2F2"/>
        </patternFill>
      </fill>
    </dxf>
    <dxf>
      <font>
        <color rgb="FF375623"/>
      </font>
      <fill>
        <patternFill>
          <bgColor rgb="FFE2EFDA"/>
        </patternFill>
      </fill>
    </dxf>
    <dxf>
      <fill>
        <patternFill>
          <bgColor rgb="FF70AD47"/>
        </patternFill>
      </fill>
    </dxf>
    <dxf>
      <fill>
        <patternFill>
          <bgColor rgb="FFC00000"/>
        </patternFill>
      </fill>
    </dxf>
    <dxf>
      <fill>
        <patternFill>
          <bgColor rgb="FF1F4E79"/>
        </patternFill>
      </fill>
    </dxf>
    <dxf>
      <fill>
        <patternFill>
          <bgColor rgb="FFFFF2CC"/>
        </patternFill>
      </fill>
    </dxf>
    <dxf>
      <fill>
        <patternFill patternType="solid">
          <fgColor rgb="FFFFF2CC"/>
          <bgColor rgb="FF000000"/>
        </patternFill>
      </fill>
    </dxf>
    <dxf>
      <fill>
        <patternFill patternType="solid">
          <fgColor rgb="FFFDE9E9"/>
          <bgColor rgb="FF000000"/>
        </patternFill>
      </fill>
    </dxf>
    <dxf>
      <fill>
        <patternFill patternType="solid">
          <fgColor rgb="FF9C0006"/>
          <bgColor rgb="FF000000"/>
        </patternFill>
      </fill>
    </dxf>
    <dxf>
      <fill>
        <patternFill patternType="solid">
          <fgColor rgb="FFE2EFDA"/>
          <bgColor rgb="FF000000"/>
        </patternFill>
      </fill>
    </dxf>
    <dxf>
      <fill>
        <patternFill patternType="solid">
          <fgColor rgb="FF375623"/>
          <bgColor rgb="FF000000"/>
        </patternFill>
      </fill>
    </dxf>
    <dxf>
      <font>
        <name val="Arial"/>
        <charset val="1"/>
        <family val="0"/>
        <i val="1"/>
        <color rgb="FF808080"/>
        <sz val="10"/>
      </font>
      <fill>
        <patternFill>
          <bgColor rgb="FFF2F2F2"/>
        </patternFill>
      </fill>
    </dxf>
    <dxf>
      <fill>
        <patternFill>
          <bgColor rgb="FFDDEBF7"/>
        </patternFill>
      </fill>
    </dxf>
    <dxf>
      <font>
        <name val="Arial"/>
        <charset val="1"/>
        <family val="0"/>
        <b val="1"/>
        <color rgb="FF9C0006"/>
        <sz val="10"/>
      </font>
    </dxf>
    <dxf>
      <fill>
        <patternFill patternType="solid">
          <fgColor rgb="FF808080"/>
          <bgColor rgb="FF000000"/>
        </patternFill>
      </fill>
    </dxf>
    <dxf>
      <fill>
        <patternFill patternType="solid">
          <fgColor rgb="FFF2F2F2"/>
          <bgColor rgb="FF000000"/>
        </patternFill>
      </fill>
    </dxf>
    <dxf>
      <fill>
        <patternFill patternType="solid">
          <fgColor rgb="FFDDEBF7"/>
          <bgColor rgb="FF000000"/>
        </patternFill>
      </fill>
    </dxf>
    <dxf>
      <font>
        <name val="Arial"/>
        <charset val="1"/>
        <family val="0"/>
        <color rgb="FF808080"/>
        <sz val="10"/>
      </font>
      <fill>
        <patternFill>
          <bgColor rgb="FFF2F2F2"/>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2CC"/>
      <rgbColor rgb="FFDDEBF7"/>
      <rgbColor rgb="FF660066"/>
      <rgbColor rgb="FFFF8080"/>
      <rgbColor rgb="FF0066CC"/>
      <rgbColor rgb="FFD9E2F0"/>
      <rgbColor rgb="FF000080"/>
      <rgbColor rgb="FFFF00FF"/>
      <rgbColor rgb="FFFFFF00"/>
      <rgbColor rgb="FF00FFFF"/>
      <rgbColor rgb="FF800080"/>
      <rgbColor rgb="FF800000"/>
      <rgbColor rgb="FF008080"/>
      <rgbColor rgb="FF0000FF"/>
      <rgbColor rgb="FF00CCFF"/>
      <rgbColor rgb="FFF2F2F2"/>
      <rgbColor rgb="FFE2EFDA"/>
      <rgbColor rgb="FFFDE9E9"/>
      <rgbColor rgb="FF99CCFF"/>
      <rgbColor rgb="FFFF99CC"/>
      <rgbColor rgb="FFCC99FF"/>
      <rgbColor rgb="FFFFCC99"/>
      <rgbColor rgb="FF3366FF"/>
      <rgbColor rgb="FF33CCCC"/>
      <rgbColor rgb="FF99CC00"/>
      <rgbColor rgb="FFFFCC00"/>
      <rgbColor rgb="FFFF9900"/>
      <rgbColor rgb="FFFF6600"/>
      <rgbColor rgb="FF595959"/>
      <rgbColor rgb="FF7F7F7F"/>
      <rgbColor rgb="FF1F3864"/>
      <rgbColor rgb="FF70AD47"/>
      <rgbColor rgb="FF003300"/>
      <rgbColor rgb="FF333300"/>
      <rgbColor rgb="FF993300"/>
      <rgbColor rgb="FF993366"/>
      <rgbColor rgb="FF1F4E79"/>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tblOverview" displayName="tblOverview" ref="A5:B25" headerRowCount="1" totalsRowCount="0" totalsRowShown="0">
  <autoFilter ref="A5:B25"/>
  <tableColumns count="2">
    <tableColumn id="1" name="Field"/>
    <tableColumn id="2" name="Value"/>
  </tableColumns>
</table>
</file>

<file path=xl/tables/table2.xml><?xml version="1.0" encoding="utf-8"?>
<table xmlns="http://schemas.openxmlformats.org/spreadsheetml/2006/main" id="2" name="tblMasterPlan" displayName="tblMasterPlan" ref="A5:P39" headerRowCount="1" totalsRowCount="0" totalsRowShown="0">
  <autoFilter ref="A5:P39"/>
  <tableColumns count="16">
    <tableColumn id="1" name="ID"/>
    <tableColumn id="2" name="Phase"/>
    <tableColumn id="3" name="Activity"/>
    <tableColumn id="4" name="Primary Owner"/>
    <tableColumn id="5" name="Support"/>
    <tableColumn id="6" name="Planned Start"/>
    <tableColumn id="7" name="Planned Finish"/>
    <tableColumn id="8" name="Duration (Weeks)"/>
    <tableColumn id="9" name="Dependency"/>
    <tableColumn id="10" name="Deliverable / Exit Criterion"/>
    <tableColumn id="11" name="Gate"/>
    <tableColumn id="12" name="Gate Date"/>
    <tableColumn id="13" name="Status"/>
    <tableColumn id="14" name="Priority"/>
    <tableColumn id="15" name="Progress %"/>
    <tableColumn id="16" name="Schedule Status"/>
  </tableColumns>
</table>
</file>

<file path=xl/tables/table3.xml><?xml version="1.0" encoding="utf-8"?>
<table xmlns="http://schemas.openxmlformats.org/spreadsheetml/2006/main" id="3" name="tblWorkPackages" displayName="tblWorkPackages" ref="A5:Q45" headerRowCount="1" totalsRowCount="0" totalsRowShown="0">
  <autoFilter ref="A5:Q45"/>
  <tableColumns count="17">
    <tableColumn id="1" name="WP ID"/>
    <tableColumn id="2" name="GAP Finding ID"/>
    <tableColumn id="3" name="Entity"/>
    <tableColumn id="4" name="Measure Area"/>
    <tableColumn id="5" name="Work Package"/>
    <tableColumn id="6" name="Central or Local"/>
    <tableColumn id="7" name="Priority"/>
    <tableColumn id="8" name="Owner"/>
    <tableColumn id="9" name="Planned Start"/>
    <tableColumn id="10" name="Planned Finish"/>
    <tableColumn id="11" name="Acceptance Criterion"/>
    <tableColumn id="12" name="Expected Evidence"/>
    <tableColumn id="13" name="Dependency"/>
    <tableColumn id="14" name="Status"/>
    <tableColumn id="15" name="Progress %"/>
    <tableColumn id="16" name="Schedule Status"/>
    <tableColumn id="17" name="Comments"/>
  </tableColumns>
</table>
</file>

<file path=xl/tables/table4.xml><?xml version="1.0" encoding="utf-8"?>
<table xmlns="http://schemas.openxmlformats.org/spreadsheetml/2006/main" id="4" name="tblGates" displayName="tblGates" ref="A5:J11" headerRowCount="1" totalsRowCount="0" totalsRowShown="0">
  <autoFilter ref="A5:J11"/>
  <tableColumns count="10">
    <tableColumn id="1" name="Gate"/>
    <tableColumn id="2" name="Planned Date"/>
    <tableColumn id="3" name="Decision"/>
    <tableColumn id="4" name="Decision Owner"/>
    <tableColumn id="5" name="Required Input"/>
    <tableColumn id="6" name="Approval Criterion"/>
    <tableColumn id="7" name="Status"/>
    <tableColumn id="8" name="Decision Reference"/>
    <tableColumn id="9" name="Activities"/>
    <tableColumn id="10" name="Open Activities"/>
  </tableColumns>
</table>
</file>

<file path=xl/tables/table5.xml><?xml version="1.0" encoding="utf-8"?>
<table xmlns="http://schemas.openxmlformats.org/spreadsheetml/2006/main" id="5" name="tblRaci" displayName="tblRaci" ref="A15:L29" headerRowCount="1" totalsRowCount="0" totalsRowShown="0">
  <autoFilter ref="A15:L29"/>
  <tableColumns count="12">
    <tableColumn id="1" name="Activity"/>
    <tableColumn id="2" name="Management Board"/>
    <tableColumn id="3" name="Information Security Officer"/>
    <tableColumn id="4" name="IT Coordinator"/>
    <tableColumn id="5" name="Central IT"/>
    <tableColumn id="6" name="Local IT / MSP"/>
    <tableColumn id="7" name="DPO"/>
    <tableColumn id="8" name="HR"/>
    <tableColumn id="9" name="IT Procurement"/>
    <tableColumn id="10" name="OT"/>
    <tableColumn id="11" name="DE Adviser"/>
    <tableColumn id="12" name="NL Adviser"/>
  </tableColumns>
</table>
</file>

<file path=xl/tables/table6.xml><?xml version="1.0" encoding="utf-8"?>
<table xmlns="http://schemas.openxmlformats.org/spreadsheetml/2006/main" id="6" name="tblRoleNotes" displayName="tblRoleNotes" ref="A33:B44" headerRowCount="1" totalsRowCount="0" totalsRowShown="0">
  <autoFilter ref="A33:B44"/>
  <tableColumns count="2">
    <tableColumn id="1" name="Role"/>
    <tableColumn id="2" name="Planning Note"/>
  </tableColumns>
</table>
</file>

<file path=xl/tables/table7.xml><?xml version="1.0" encoding="utf-8"?>
<table xmlns="http://schemas.openxmlformats.org/spreadsheetml/2006/main" id="7" name="tblRisks" displayName="tblRisks" ref="A5:N35" headerRowCount="1" totalsRowCount="0" totalsRowShown="0">
  <autoFilter ref="A5:N35"/>
  <tableColumns count="14">
    <tableColumn id="1" name="Record ID"/>
    <tableColumn id="2" name="Type"/>
    <tableColumn id="3" name="Date Raised"/>
    <tableColumn id="4" name="Description"/>
    <tableColumn id="5" name="Impact"/>
    <tableColumn id="6" name="Probability"/>
    <tableColumn id="7" name="Severity"/>
    <tableColumn id="8" name="Owner"/>
    <tableColumn id="9" name="Mitigation / Required Action"/>
    <tableColumn id="10" name="Target Date"/>
    <tableColumn id="11" name="Status"/>
    <tableColumn id="12" name="Escalation Needed"/>
    <tableColumn id="13" name="Decision / Resolution"/>
    <tableColumn id="14" name="Due Statu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 Type="http://schemas.openxmlformats.org/officeDocument/2006/relationships/table" Target="/xl/tables/table5.xml" Id="rId2"/><Relationship Type="http://schemas.openxmlformats.org/officeDocument/2006/relationships/table" Target="/xl/tables/table6.xml" Id="rId3"/></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filterMode="0">
    <outlinePr summaryBelow="1" summaryRight="1"/>
    <pageSetUpPr fitToPage="1"/>
  </sheetPr>
  <dimension ref="A1:B25"/>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B27" activeCellId="0" sqref="B27"/>
    </sheetView>
  </sheetViews>
  <sheetFormatPr baseColWidth="8" defaultColWidth="8.71484375" defaultRowHeight="15" zeroHeight="0" outlineLevelRow="0"/>
  <cols>
    <col width="32" customWidth="1" style="36" min="1" max="1"/>
    <col width="105" customWidth="1" style="36" min="2" max="2"/>
  </cols>
  <sheetData>
    <row r="1" ht="20.25" customHeight="1" s="37">
      <c r="A1" s="38" t="inlineStr">
        <is>
          <t>NIS2 Group Implementation Project</t>
        </is>
      </c>
    </row>
    <row r="2" ht="15.75" customHeight="1" s="37">
      <c r="A2" s="39" t="inlineStr">
        <is>
          <t>Project Overview</t>
        </is>
      </c>
    </row>
    <row r="3" ht="15" customHeight="1" s="37">
      <c r="A3" s="40" t="inlineStr">
        <is>
          <t>Version 1.0  |  Status: Draft  |  Classification: Internal use  |  Document owner: Information Security Officer</t>
        </is>
      </c>
    </row>
    <row r="4" ht="3" customHeight="1" s="37">
      <c r="A4" s="41" t="n"/>
      <c r="B4" s="41" t="n"/>
    </row>
    <row r="5" ht="30" customHeight="1" s="37">
      <c r="A5" s="42" t="inlineStr">
        <is>
          <t>Field</t>
        </is>
      </c>
      <c r="B5" s="42" t="inlineStr">
        <is>
          <t>Value</t>
        </is>
      </c>
    </row>
    <row r="6" ht="15" customHeight="1" s="37">
      <c r="A6" s="43" t="inlineStr">
        <is>
          <t>Project Name</t>
        </is>
      </c>
      <c r="B6" s="44" t="inlineStr">
        <is>
          <t>NIS2 Group Implementation Project</t>
        </is>
      </c>
    </row>
    <row r="7" ht="15" customHeight="1" s="37">
      <c r="A7" s="43" t="inlineStr">
        <is>
          <t>Planned Start</t>
        </is>
      </c>
      <c r="B7" s="45" t="n">
        <v>46286</v>
      </c>
    </row>
    <row r="8" ht="15" customHeight="1" s="37">
      <c r="A8" s="43" t="inlineStr">
        <is>
          <t>Planned Completion</t>
        </is>
      </c>
      <c r="B8" s="45" t="n">
        <v>46721</v>
      </c>
    </row>
    <row r="9" ht="15" customHeight="1" s="37">
      <c r="A9" s="43" t="inlineStr">
        <is>
          <t>Project Sponsor</t>
        </is>
      </c>
      <c r="B9" s="44" t="inlineStr">
        <is>
          <t>Group Management Board</t>
        </is>
      </c>
    </row>
    <row r="10" ht="15" customHeight="1" s="37">
      <c r="A10" s="43" t="inlineStr">
        <is>
          <t>Project Manager</t>
        </is>
      </c>
      <c r="B10" s="44" t="inlineStr">
        <is>
          <t>Information Security Officer</t>
        </is>
      </c>
    </row>
    <row r="11" ht="15" customHeight="1" s="37">
      <c r="A11" s="43" t="inlineStr">
        <is>
          <t>Steering Committee</t>
        </is>
      </c>
      <c r="B11" s="44" t="inlineStr">
        <is>
          <t>Management Board; IT Coordinator; Data Protection Officer</t>
        </is>
      </c>
    </row>
    <row r="12" ht="15" customHeight="1" s="37">
      <c r="A12" s="43" t="inlineStr">
        <is>
          <t>Geographic Scope</t>
        </is>
      </c>
      <c r="B12" s="44" t="inlineStr">
        <is>
          <t>HQ and all subsidiaries</t>
        </is>
      </c>
    </row>
    <row r="13" ht="15" customHeight="1" s="37">
      <c r="A13" s="43" t="inlineStr">
        <is>
          <t>Regulatory Scope</t>
        </is>
      </c>
      <c r="B13" s="44" t="inlineStr">
        <is>
          <t>NIS2 implementation and related national requirements in Germany and the Netherlands</t>
        </is>
      </c>
    </row>
    <row r="14" ht="38.25" customHeight="1" s="37">
      <c r="A14" s="43" t="inlineStr">
        <is>
          <t>Operational Scope</t>
        </is>
      </c>
      <c r="B14" s="44" t="inlineStr">
        <is>
          <t>Governance; risk management; incident handling and reporting; business continuity; supply-chain security; vulnerability management; effectiveness reviews; cyber hygiene and training; cryptography; access control; MFA; secure communications; OT security; compliance evidence</t>
        </is>
      </c>
    </row>
    <row r="15" ht="15" customHeight="1" s="37">
      <c r="A15" s="43" t="inlineStr">
        <is>
          <t>Out of Scope</t>
        </is>
      </c>
      <c r="B15" s="44" t="inlineStr">
        <is>
          <t>ISO/IEC 27001 certification and full ISO/IEC 27001 implementation beyond what is required for NIS2</t>
        </is>
      </c>
    </row>
    <row r="16" ht="15" customHeight="1" s="37">
      <c r="A16" s="43" t="inlineStr">
        <is>
          <t>Delivery Model</t>
        </is>
      </c>
      <c r="B16" s="44" t="inlineStr">
        <is>
          <t>Part-time project alongside normal operations</t>
        </is>
      </c>
    </row>
    <row r="17" ht="15" customHeight="1" s="37">
      <c r="A17" s="43" t="inlineStr">
        <is>
          <t>Assessment Model</t>
        </is>
      </c>
      <c r="B17" s="44" t="inlineStr">
        <is>
          <t>Remote assessments; one full pass over all 174 requirements per entity; partly sequential and partly parallel</t>
        </is>
      </c>
    </row>
    <row r="18" ht="15" customHeight="1" s="37">
      <c r="A18" s="43" t="inlineStr">
        <is>
          <t>Project Team Meeting</t>
        </is>
      </c>
      <c r="B18" s="44" t="inlineStr">
        <is>
          <t>Every two weeks</t>
        </is>
      </c>
    </row>
    <row r="19" ht="15" customHeight="1" s="37">
      <c r="A19" s="43" t="inlineStr">
        <is>
          <t>Steering Committee Reporting</t>
        </is>
      </c>
      <c r="B19" s="44" t="inlineStr">
        <is>
          <t>Every six weeks and at management gates</t>
        </is>
      </c>
    </row>
    <row r="20" ht="15" customHeight="1" s="37">
      <c r="A20" s="43" t="inlineStr">
        <is>
          <t>Priority Model</t>
        </is>
      </c>
      <c r="B20" s="44" t="inlineStr">
        <is>
          <t>High; Medium; Low</t>
        </is>
      </c>
    </row>
    <row r="21" ht="15" customHeight="1" s="37">
      <c r="A21" s="43" t="inlineStr">
        <is>
          <t>Work-Package Principle</t>
        </is>
      </c>
      <c r="B21" s="44" t="inlineStr">
        <is>
          <t>Central HQ measures receive priority where they benefit multiple entities</t>
        </is>
      </c>
    </row>
    <row r="22" ht="15" customHeight="1" s="37">
      <c r="A22" s="43" t="inlineStr">
        <is>
          <t>Finding Approval</t>
        </is>
      </c>
      <c r="B22" s="44" t="inlineStr">
        <is>
          <t>Findings and recommendations presented by the Information Security Officer to the Management Board</t>
        </is>
      </c>
    </row>
    <row r="23" ht="15" customHeight="1" s="37">
      <c r="A23" s="43" t="inlineStr">
        <is>
          <t>Budget Approval</t>
        </is>
      </c>
      <c r="B23" s="44" t="inlineStr">
        <is>
          <t>Information Security Officer for minor expenditure; Management Board for material expenditure</t>
        </is>
      </c>
    </row>
    <row r="24" ht="35.05" customHeight="1" s="37">
      <c r="A24" s="43" t="inlineStr">
        <is>
          <t>Planning Assumption</t>
        </is>
      </c>
      <c r="B24" s="44" t="inlineStr">
        <is>
          <t>Detailed remediation work packages will be created only after the GAP assessments and management approval. Assessment scope was extended from 49 questions to the 161 requirements of the Annex to Implementing Regulation (EU) 2024/2690 plus 13 national requirements; the schedule was re-based on a kick-off in the week of 28 September 2026.</t>
        </is>
      </c>
    </row>
    <row r="25" ht="25.5" customHeight="1" s="37">
      <c r="A25" s="43" t="inlineStr">
        <is>
          <t>Success Criterion</t>
        </is>
      </c>
      <c r="B25" s="44" t="inlineStr">
        <is>
          <t>All applicable NIS2 requirements are implemented, documented and subject to an initial effectiveness review, or remaining risks are formally accepted by authorised management</t>
        </is>
      </c>
    </row>
  </sheetData>
  <printOptions horizontalCentered="1" verticalCentered="0" headings="0" gridLines="0" gridLinesSet="1"/>
  <pageMargins left="0.75" right="0.75" top="1" bottom="1" header="0.5" footer="0.5"/>
  <pageSetup orientation="landscape" paperSize="8" scale="100" fitToHeight="0" fitToWidth="1" pageOrder="downThenOver" blackAndWhite="0" draft="0" horizontalDpi="300" verticalDpi="300" copies="1"/>
  <headerFooter differentOddEven="0" differentFirst="0">
    <oddHeader>&amp;R&amp;8 Internal use</oddHeader>
    <oddFooter>&amp;L&amp;8 NIS2 Group Implementation Project&amp;R&amp;8 Page &amp;P of &amp;N</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filterMode="0">
    <outlinePr summaryBelow="1" summaryRight="1"/>
    <pageSetUpPr fitToPage="1"/>
  </sheetPr>
  <dimension ref="A1:H3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9" activeCellId="0" sqref="A19"/>
    </sheetView>
  </sheetViews>
  <sheetFormatPr baseColWidth="8" defaultColWidth="8.71484375" defaultRowHeight="15" zeroHeight="0" outlineLevelRow="0"/>
  <cols>
    <col width="30" customWidth="1" style="36" min="1" max="1"/>
    <col width="14" customWidth="1" style="36" min="2" max="2"/>
    <col width="3" customWidth="1" style="36" min="3" max="3"/>
    <col width="27" customWidth="1" style="36" min="4" max="4"/>
    <col width="14" customWidth="1" style="36" min="5" max="5"/>
    <col width="12" customWidth="1" style="36" min="6" max="7"/>
    <col width="16" customWidth="1" style="36" min="8" max="8"/>
  </cols>
  <sheetData>
    <row r="1" ht="20.25" customHeight="1" s="37">
      <c r="A1" s="38" t="inlineStr">
        <is>
          <t>NIS2 Group Implementation Project</t>
        </is>
      </c>
    </row>
    <row r="2" ht="15.75" customHeight="1" s="37">
      <c r="A2" s="39" t="inlineStr">
        <is>
          <t>Project Dashboard</t>
        </is>
      </c>
    </row>
    <row r="3" ht="15" customHeight="1" s="37">
      <c r="A3" s="40" t="inlineStr">
        <is>
          <t>Fully formula-based. Values update as soon as the Master Plan, Work Packages, Gates or Risk records change. No refresh required.</t>
        </is>
      </c>
    </row>
    <row r="4" ht="3" customHeight="1" s="37">
      <c r="A4" s="41" t="n"/>
      <c r="B4" s="41" t="n"/>
      <c r="C4" s="41" t="n"/>
      <c r="D4" s="41" t="n"/>
      <c r="E4" s="41" t="n"/>
      <c r="F4" s="41" t="n"/>
      <c r="G4" s="41" t="n"/>
      <c r="H4" s="41" t="n"/>
    </row>
    <row r="5" ht="15" customHeight="1" s="37">
      <c r="A5" s="46" t="inlineStr">
        <is>
          <t>Reporting date</t>
        </is>
      </c>
      <c r="B5" s="47">
        <f>TODAY()</f>
        <v/>
      </c>
    </row>
    <row r="7" ht="15.75" customHeight="1" s="37">
      <c r="A7" s="39" t="inlineStr">
        <is>
          <t>Overall Status</t>
        </is>
      </c>
      <c r="D7" s="39" t="inlineStr">
        <is>
          <t>Progress by Phase</t>
        </is>
      </c>
    </row>
    <row r="8" ht="30" customHeight="1" s="37">
      <c r="A8" s="42" t="inlineStr">
        <is>
          <t>Indicator</t>
        </is>
      </c>
      <c r="B8" s="42" t="inlineStr">
        <is>
          <t>Value</t>
        </is>
      </c>
      <c r="D8" s="42" t="inlineStr">
        <is>
          <t>Phase</t>
        </is>
      </c>
      <c r="E8" s="42" t="inlineStr">
        <is>
          <t>Activities</t>
        </is>
      </c>
      <c r="F8" s="42" t="inlineStr">
        <is>
          <t>Completed</t>
        </is>
      </c>
      <c r="G8" s="42" t="inlineStr">
        <is>
          <t>Progress</t>
        </is>
      </c>
      <c r="H8" s="42" t="inlineStr">
        <is>
          <t>Overdue</t>
        </is>
      </c>
    </row>
    <row r="9" ht="15" customHeight="1" s="37">
      <c r="A9" s="48" t="inlineStr">
        <is>
          <t>Activities in plan</t>
        </is>
      </c>
      <c r="B9" s="49">
        <f>COUNTA('Master Plan'!$A$6:$A$40)</f>
        <v/>
      </c>
      <c r="D9" s="48" t="inlineStr">
        <is>
          <t>1. Initiation</t>
        </is>
      </c>
      <c r="E9" s="50">
        <f>COUNTIF('Master Plan'!$B$6:$B$40,$D9)</f>
        <v/>
      </c>
      <c r="F9" s="50">
        <f>COUNTIFS('Master Plan'!$B$6:$B$40,$D9,'Master Plan'!$M$6:$M$40,"Completed")</f>
        <v/>
      </c>
      <c r="G9" s="51">
        <f>IFERROR(AVERAGEIFS('Master Plan'!$O$6:$O$40,'Master Plan'!$B$6:$B$40,$D9),0)</f>
        <v/>
      </c>
      <c r="H9" s="50">
        <f>COUNTIFS('Master Plan'!$B$6:$B$40,$D9,'Master Plan'!$P$6:$P$40,"Red")</f>
        <v/>
      </c>
    </row>
    <row r="10" ht="15" customHeight="1" s="37">
      <c r="A10" s="48" t="inlineStr">
        <is>
          <t>Completed</t>
        </is>
      </c>
      <c r="B10" s="49">
        <f>COUNTIF('Master Plan'!$M$6:$M$40,"Completed")</f>
        <v/>
      </c>
      <c r="D10" s="48" t="inlineStr">
        <is>
          <t>2. Assessment Preparation</t>
        </is>
      </c>
      <c r="E10" s="50">
        <f>COUNTIF('Master Plan'!$B$6:$B$40,$D10)</f>
        <v/>
      </c>
      <c r="F10" s="50">
        <f>COUNTIFS('Master Plan'!$B$6:$B$40,$D10,'Master Plan'!$M$6:$M$40,"Completed")</f>
        <v/>
      </c>
      <c r="G10" s="51">
        <f>IFERROR(AVERAGEIFS('Master Plan'!$O$6:$O$40,'Master Plan'!$B$6:$B$40,$D10),0)</f>
        <v/>
      </c>
      <c r="H10" s="50">
        <f>COUNTIFS('Master Plan'!$B$6:$B$40,$D10,'Master Plan'!$P$6:$P$40,"Red")</f>
        <v/>
      </c>
    </row>
    <row r="11" ht="15" customHeight="1" s="37">
      <c r="A11" s="48" t="inlineStr">
        <is>
          <t>In progress</t>
        </is>
      </c>
      <c r="B11" s="49">
        <f>COUNTIF('Master Plan'!$M$6:$M$40,"In Progress")</f>
        <v/>
      </c>
      <c r="D11" s="48" t="inlineStr">
        <is>
          <t>3. GAP Assessments</t>
        </is>
      </c>
      <c r="E11" s="50">
        <f>COUNTIF('Master Plan'!$B$6:$B$40,$D11)</f>
        <v/>
      </c>
      <c r="F11" s="50">
        <f>COUNTIFS('Master Plan'!$B$6:$B$40,$D11,'Master Plan'!$M$6:$M$40,"Completed")</f>
        <v/>
      </c>
      <c r="G11" s="51">
        <f>IFERROR(AVERAGEIFS('Master Plan'!$O$6:$O$40,'Master Plan'!$B$6:$B$40,$D11),0)</f>
        <v/>
      </c>
      <c r="H11" s="50">
        <f>COUNTIFS('Master Plan'!$B$6:$B$40,$D11,'Master Plan'!$P$6:$P$40,"Red")</f>
        <v/>
      </c>
    </row>
    <row r="12" ht="15" customHeight="1" s="37">
      <c r="A12" s="48" t="inlineStr">
        <is>
          <t>Blocked</t>
        </is>
      </c>
      <c r="B12" s="49">
        <f>COUNTIF('Master Plan'!$M$6:$M$40,"Blocked")</f>
        <v/>
      </c>
      <c r="D12" s="48" t="inlineStr">
        <is>
          <t>4. Consolidation</t>
        </is>
      </c>
      <c r="E12" s="50">
        <f>COUNTIF('Master Plan'!$B$6:$B$40,$D12)</f>
        <v/>
      </c>
      <c r="F12" s="50">
        <f>COUNTIFS('Master Plan'!$B$6:$B$40,$D12,'Master Plan'!$M$6:$M$40,"Completed")</f>
        <v/>
      </c>
      <c r="G12" s="51">
        <f>IFERROR(AVERAGEIFS('Master Plan'!$O$6:$O$40,'Master Plan'!$B$6:$B$40,$D12),0)</f>
        <v/>
      </c>
      <c r="H12" s="50">
        <f>COUNTIFS('Master Plan'!$B$6:$B$40,$D12,'Master Plan'!$P$6:$P$40,"Red")</f>
        <v/>
      </c>
    </row>
    <row r="13" ht="15" customHeight="1" s="37">
      <c r="A13" s="48" t="inlineStr">
        <is>
          <t>Overall progress</t>
        </is>
      </c>
      <c r="B13" s="52">
        <f>IFERROR(AVERAGE('Master Plan'!$O$6:$O$40),0)</f>
        <v/>
      </c>
      <c r="D13" s="48" t="inlineStr">
        <is>
          <t>5. Remediation</t>
        </is>
      </c>
      <c r="E13" s="50">
        <f>COUNTIF('Master Plan'!$B$6:$B$40,$D13)</f>
        <v/>
      </c>
      <c r="F13" s="50">
        <f>COUNTIFS('Master Plan'!$B$6:$B$40,$D13,'Master Plan'!$M$6:$M$40,"Completed")</f>
        <v/>
      </c>
      <c r="G13" s="51">
        <f>IFERROR(AVERAGEIFS('Master Plan'!$O$6:$O$40,'Master Plan'!$B$6:$B$40,$D13),0)</f>
        <v/>
      </c>
      <c r="H13" s="50">
        <f>COUNTIFS('Master Plan'!$B$6:$B$40,$D13,'Master Plan'!$P$6:$P$40,"Red")</f>
        <v/>
      </c>
    </row>
    <row r="14" ht="15" customHeight="1" s="37">
      <c r="A14" s="48" t="inlineStr">
        <is>
          <t>Schedule: Green</t>
        </is>
      </c>
      <c r="B14" s="49">
        <f>COUNTIF('Master Plan'!$P$6:$P$40,"Green")</f>
        <v/>
      </c>
      <c r="D14" s="48" t="inlineStr">
        <is>
          <t>6. Verification</t>
        </is>
      </c>
      <c r="E14" s="50">
        <f>COUNTIF('Master Plan'!$B$6:$B$40,$D14)</f>
        <v/>
      </c>
      <c r="F14" s="50">
        <f>COUNTIFS('Master Plan'!$B$6:$B$40,$D14,'Master Plan'!$M$6:$M$40,"Completed")</f>
        <v/>
      </c>
      <c r="G14" s="51">
        <f>IFERROR(AVERAGEIFS('Master Plan'!$O$6:$O$40,'Master Plan'!$B$6:$B$40,$D14),0)</f>
        <v/>
      </c>
      <c r="H14" s="50">
        <f>COUNTIFS('Master Plan'!$B$6:$B$40,$D14,'Master Plan'!$P$6:$P$40,"Red")</f>
        <v/>
      </c>
    </row>
    <row r="15" ht="15" customHeight="1" s="37">
      <c r="A15" s="48" t="inlineStr">
        <is>
          <t>Schedule: Amber</t>
        </is>
      </c>
      <c r="B15" s="49">
        <f>COUNTIF('Master Plan'!$P$6:$P$40,"Amber")</f>
        <v/>
      </c>
    </row>
    <row r="16" ht="15.75" customHeight="1" s="37">
      <c r="A16" s="48" t="inlineStr">
        <is>
          <t>Schedule: Red (overdue)</t>
        </is>
      </c>
      <c r="B16" s="49">
        <f>COUNTIF('Master Plan'!$P$6:$P$40,"Red")</f>
        <v/>
      </c>
      <c r="D16" s="39" t="inlineStr">
        <is>
          <t>Management Gates</t>
        </is>
      </c>
    </row>
    <row r="17" ht="30" customHeight="1" s="37">
      <c r="A17" s="48" t="inlineStr">
        <is>
          <t>Finishing in next 30 days</t>
        </is>
      </c>
      <c r="B17" s="49">
        <f>COUNTIFS('Master Plan'!$G$6:$G$40,"&gt;="&amp;TODAY(),'Master Plan'!$G$6:$G$40,"&lt;="&amp;TODAY()+30)</f>
        <v/>
      </c>
      <c r="D17" s="42" t="inlineStr">
        <is>
          <t>Gate</t>
        </is>
      </c>
      <c r="E17" s="42" t="inlineStr">
        <is>
          <t>Planned Date</t>
        </is>
      </c>
      <c r="F17" s="42" t="inlineStr">
        <is>
          <t>Status</t>
        </is>
      </c>
      <c r="G17" s="42" t="inlineStr">
        <is>
          <t>Days to Gate</t>
        </is>
      </c>
      <c r="H17" s="42" t="inlineStr">
        <is>
          <t>Open Activities</t>
        </is>
      </c>
    </row>
    <row r="18" ht="15" customHeight="1" s="37">
      <c r="D18" s="53">
        <f>'Governance and Gates'!$A$6</f>
        <v/>
      </c>
      <c r="E18" s="54">
        <f>'Governance and Gates'!$B$6</f>
        <v/>
      </c>
      <c r="F18" s="53">
        <f>'Governance and Gates'!$G$6</f>
        <v/>
      </c>
      <c r="G18" s="50">
        <f>IF($E18="","",$E18-TODAY())</f>
        <v/>
      </c>
      <c r="H18" s="50">
        <f>'Governance and Gates'!$J$6</f>
        <v/>
      </c>
    </row>
    <row r="19" ht="15.75" customHeight="1" s="37">
      <c r="A19" s="39" t="inlineStr">
        <is>
          <t>Work Packages</t>
        </is>
      </c>
      <c r="D19" s="53">
        <f>'Governance and Gates'!$A$7</f>
        <v/>
      </c>
      <c r="E19" s="54">
        <f>'Governance and Gates'!$B$7</f>
        <v/>
      </c>
      <c r="F19" s="53">
        <f>'Governance and Gates'!$G$7</f>
        <v/>
      </c>
      <c r="G19" s="50">
        <f>IF($E19="","",$E19-TODAY())</f>
        <v/>
      </c>
      <c r="H19" s="50">
        <f>'Governance and Gates'!$J$7</f>
        <v/>
      </c>
    </row>
    <row r="20" ht="30" customHeight="1" s="37">
      <c r="A20" s="42" t="inlineStr">
        <is>
          <t>Indicator</t>
        </is>
      </c>
      <c r="B20" s="42" t="inlineStr">
        <is>
          <t>Value</t>
        </is>
      </c>
      <c r="D20" s="53">
        <f>'Governance and Gates'!$A$8</f>
        <v/>
      </c>
      <c r="E20" s="54">
        <f>'Governance and Gates'!$B$8</f>
        <v/>
      </c>
      <c r="F20" s="53">
        <f>'Governance and Gates'!$G$8</f>
        <v/>
      </c>
      <c r="G20" s="50">
        <f>IF($E20="","",$E20-TODAY())</f>
        <v/>
      </c>
      <c r="H20" s="50">
        <f>'Governance and Gates'!$J$8</f>
        <v/>
      </c>
    </row>
    <row r="21" ht="15" customHeight="1" s="37">
      <c r="A21" s="48" t="inlineStr">
        <is>
          <t>Work packages defined</t>
        </is>
      </c>
      <c r="B21" s="49">
        <f>COUNTIF('Work Packages'!$E$6:$E$45,"?*")</f>
        <v/>
      </c>
      <c r="D21" s="53">
        <f>'Governance and Gates'!$A$9</f>
        <v/>
      </c>
      <c r="E21" s="54">
        <f>'Governance and Gates'!$B$9</f>
        <v/>
      </c>
      <c r="F21" s="53">
        <f>'Governance and Gates'!$G$9</f>
        <v/>
      </c>
      <c r="G21" s="50">
        <f>IF($E21="","",$E21-TODAY())</f>
        <v/>
      </c>
      <c r="H21" s="50">
        <f>'Governance and Gates'!$J$9</f>
        <v/>
      </c>
    </row>
    <row r="22" ht="15" customHeight="1" s="37">
      <c r="A22" s="48" t="inlineStr">
        <is>
          <t>Not started</t>
        </is>
      </c>
      <c r="B22" s="49">
        <f>COUNTIFS('Work Packages'!$E$6:$E$45,"?*",'Work Packages'!$N$6:$N$45,"Not Started")</f>
        <v/>
      </c>
      <c r="D22" s="53">
        <f>'Governance and Gates'!$A$10</f>
        <v/>
      </c>
      <c r="E22" s="54">
        <f>'Governance and Gates'!$B$10</f>
        <v/>
      </c>
      <c r="F22" s="53">
        <f>'Governance and Gates'!$G$10</f>
        <v/>
      </c>
      <c r="G22" s="50">
        <f>IF($E22="","",$E22-TODAY())</f>
        <v/>
      </c>
      <c r="H22" s="50">
        <f>'Governance and Gates'!$J$10</f>
        <v/>
      </c>
    </row>
    <row r="23" ht="15" customHeight="1" s="37">
      <c r="A23" s="48" t="inlineStr">
        <is>
          <t>In progress</t>
        </is>
      </c>
      <c r="B23" s="49">
        <f>COUNTIFS('Work Packages'!$E$6:$E$45,"?*",'Work Packages'!$N$6:$N$45,"In Progress")</f>
        <v/>
      </c>
      <c r="D23" s="53">
        <f>'Governance and Gates'!$A$11</f>
        <v/>
      </c>
      <c r="E23" s="54">
        <f>'Governance and Gates'!$B$11</f>
        <v/>
      </c>
      <c r="F23" s="53">
        <f>'Governance and Gates'!$G$11</f>
        <v/>
      </c>
      <c r="G23" s="50">
        <f>IF($E23="","",$E23-TODAY())</f>
        <v/>
      </c>
      <c r="H23" s="50">
        <f>'Governance and Gates'!$J$11</f>
        <v/>
      </c>
    </row>
    <row r="24" ht="15" customHeight="1" s="37">
      <c r="A24" s="48" t="inlineStr">
        <is>
          <t>Completed</t>
        </is>
      </c>
      <c r="B24" s="49">
        <f>COUNTIFS('Work Packages'!$E$6:$E$45,"?*",'Work Packages'!$N$6:$N$45,"Completed")</f>
        <v/>
      </c>
    </row>
    <row r="25" ht="15.75" customHeight="1" s="37">
      <c r="A25" s="48" t="inlineStr">
        <is>
          <t>High priority open</t>
        </is>
      </c>
      <c r="B25" s="49">
        <f>COUNTIFS('Work Packages'!$E$6:$E$45,"?*",'Work Packages'!$G$6:$G$45,"High",'Work Packages'!$N$6:$N$45,"&lt;&gt;Completed")</f>
        <v/>
      </c>
      <c r="D25" s="39" t="inlineStr">
        <is>
          <t>Legend</t>
        </is>
      </c>
    </row>
    <row r="26" ht="30" customHeight="1" s="37">
      <c r="A26" s="48" t="inlineStr">
        <is>
          <t>Overdue (Red)</t>
        </is>
      </c>
      <c r="B26" s="49">
        <f>COUNTIF('Work Packages'!$P$6:$P$45,"Red")</f>
        <v/>
      </c>
      <c r="D26" s="42" t="inlineStr">
        <is>
          <t>Indicator</t>
        </is>
      </c>
      <c r="E26" s="42" t="inlineStr">
        <is>
          <t>Meaning</t>
        </is>
      </c>
    </row>
    <row r="27" ht="15" customHeight="1" s="37">
      <c r="D27" s="48" t="inlineStr">
        <is>
          <t>Green</t>
        </is>
      </c>
      <c r="E27" s="48" t="inlineStr">
        <is>
          <t>On schedule or completed</t>
        </is>
      </c>
    </row>
    <row r="28" ht="15.75" customHeight="1" s="37">
      <c r="A28" s="39" t="inlineStr">
        <is>
          <t>Risks, Issues and Decisions</t>
        </is>
      </c>
      <c r="D28" s="48" t="inlineStr">
        <is>
          <t>Amber</t>
        </is>
      </c>
      <c r="E28" s="48" t="inlineStr">
        <is>
          <t>Planned finish within the next 14 days</t>
        </is>
      </c>
    </row>
    <row r="29" ht="30" customHeight="1" s="37">
      <c r="A29" s="42" t="inlineStr">
        <is>
          <t>Indicator</t>
        </is>
      </c>
      <c r="B29" s="42" t="inlineStr">
        <is>
          <t>Value</t>
        </is>
      </c>
      <c r="D29" s="48" t="inlineStr">
        <is>
          <t>Red</t>
        </is>
      </c>
      <c r="E29" s="48" t="inlineStr">
        <is>
          <t>Planned finish in the past and not completed</t>
        </is>
      </c>
    </row>
    <row r="30" ht="15" customHeight="1" s="37">
      <c r="A30" s="48" t="inlineStr">
        <is>
          <t>Records total</t>
        </is>
      </c>
      <c r="B30" s="49">
        <f>COUNTIF('Risks Issues Decisions'!$A$6:$A$35,"?*")</f>
        <v/>
      </c>
      <c r="D30" s="48" t="inlineStr">
        <is>
          <t>Not Planned</t>
        </is>
      </c>
      <c r="E30" s="48" t="inlineStr">
        <is>
          <t>No start or finish date entered yet</t>
        </is>
      </c>
    </row>
    <row r="31" ht="15" customHeight="1" s="37">
      <c r="A31" s="48" t="inlineStr">
        <is>
          <t>Open risks</t>
        </is>
      </c>
      <c r="B31" s="49">
        <f>COUNTIFS('Risks Issues Decisions'!$B$6:$B$35,"Risk",'Risks Issues Decisions'!$K$6:$K$35,"Open")</f>
        <v/>
      </c>
    </row>
    <row r="32" ht="15" customHeight="1" s="37">
      <c r="A32" s="48" t="inlineStr">
        <is>
          <t>Open issues</t>
        </is>
      </c>
      <c r="B32" s="49">
        <f>COUNTIFS('Risks Issues Decisions'!$B$6:$B$35,"Issue",'Risks Issues Decisions'!$K$6:$K$35,"Open")</f>
        <v/>
      </c>
    </row>
    <row r="33" ht="15" customHeight="1" s="37">
      <c r="A33" s="48" t="inlineStr">
        <is>
          <t>High severity, not closed</t>
        </is>
      </c>
      <c r="B33" s="49">
        <f>COUNTIFS('Risks Issues Decisions'!$G$6:$G$35,"High",'Risks Issues Decisions'!$K$6:$K$35,"&lt;&gt;Closed")</f>
        <v/>
      </c>
    </row>
    <row r="34" ht="15" customHeight="1" s="37">
      <c r="A34" s="48" t="inlineStr">
        <is>
          <t>Escalation needed</t>
        </is>
      </c>
      <c r="B34" s="49">
        <f>COUNTIF('Risks Issues Decisions'!$L$6:$L$35,"Yes")</f>
        <v/>
      </c>
    </row>
    <row r="35" ht="15" customHeight="1" s="37">
      <c r="A35" s="48" t="inlineStr">
        <is>
          <t>Overdue actions</t>
        </is>
      </c>
      <c r="B35" s="49">
        <f>COUNTIF('Risks Issues Decisions'!$N$6:$N$35,"Overdue")</f>
        <v/>
      </c>
    </row>
  </sheetData>
  <sheetProtection selectLockedCells="0" selectUnlockedCells="0" sheet="1" objects="0" insertRows="0" insertHyperlinks="1" autoFilter="0" scenarios="0" formatColumns="0" deleteColumns="1" insertColumns="1" pivotTables="1" deleteRows="0" formatCells="0" formatRows="0" sort="0"/>
  <conditionalFormatting sqref="G9:G14">
    <cfRule type="dataBar" priority="2">
      <dataBar minLength="10" maxLength="90" showValue="1">
        <cfvo type="num" val="0"/>
        <cfvo type="num" val="1"/>
        <color rgb="FF4472C4"/>
      </dataBar>
    </cfRule>
  </conditionalFormatting>
  <conditionalFormatting sqref="H9:H14">
    <cfRule type="expression" rank="0" priority="3" equalAverage="0" aboveAverage="0" dxfId="3" text="" percent="0" bottom="0">
      <formula>$H9&gt;0</formula>
    </cfRule>
  </conditionalFormatting>
  <conditionalFormatting sqref="B14">
    <cfRule type="expression" rank="0" priority="4" equalAverage="0" aboveAverage="0" dxfId="4" text="" percent="0" bottom="0">
      <formula>$B$14&gt;0</formula>
    </cfRule>
  </conditionalFormatting>
  <conditionalFormatting sqref="B15">
    <cfRule type="expression" rank="0" priority="5" equalAverage="0" aboveAverage="0" dxfId="5" text="" percent="0" bottom="0">
      <formula>$B$15&gt;0</formula>
    </cfRule>
  </conditionalFormatting>
  <conditionalFormatting sqref="B16">
    <cfRule type="expression" rank="0" priority="6" equalAverage="0" aboveAverage="0" dxfId="3" text="" percent="0" bottom="0">
      <formula>$B$16&gt;0</formula>
    </cfRule>
  </conditionalFormatting>
  <conditionalFormatting sqref="B13">
    <cfRule type="dataBar" priority="7">
      <dataBar minLength="10" maxLength="90" showValue="1">
        <cfvo type="num" val="0"/>
        <cfvo type="num" val="1"/>
        <color rgb="FF4472C4"/>
      </dataBar>
    </cfRule>
  </conditionalFormatting>
  <conditionalFormatting sqref="G18:G23">
    <cfRule type="expression" rank="0" priority="8" equalAverage="0" aboveAverage="0" dxfId="6" text="" percent="0" bottom="0">
      <formula>AND($G18&lt;&gt;"",$G18&lt;0)</formula>
    </cfRule>
  </conditionalFormatting>
  <conditionalFormatting sqref="H18:H23">
    <cfRule type="expression" rank="0" priority="9" equalAverage="0" aboveAverage="0" dxfId="4" text="" percent="0" bottom="0">
      <formula>$H18=0</formula>
    </cfRule>
  </conditionalFormatting>
  <conditionalFormatting sqref="D27">
    <cfRule type="expression" rank="0" priority="10" equalAverage="0" aboveAverage="0" dxfId="7" text="" percent="0" bottom="0">
      <formula>TRUE()</formula>
    </cfRule>
  </conditionalFormatting>
  <conditionalFormatting sqref="D28">
    <cfRule type="expression" rank="0" priority="11" equalAverage="0" aboveAverage="0" dxfId="8" text="" percent="0" bottom="0">
      <formula>TRUE()</formula>
    </cfRule>
  </conditionalFormatting>
  <conditionalFormatting sqref="D29">
    <cfRule type="expression" rank="0" priority="12" equalAverage="0" aboveAverage="0" dxfId="9" text="" percent="0" bottom="0">
      <formula>TRUE()</formula>
    </cfRule>
  </conditionalFormatting>
  <conditionalFormatting sqref="D30">
    <cfRule type="expression" rank="0" priority="13" equalAverage="0" aboveAverage="0" dxfId="10" text="" percent="0" bottom="0">
      <formula>TRUE()</formula>
    </cfRule>
  </conditionalFormatting>
  <printOptions horizontalCentered="1" verticalCentered="0" headings="0" gridLines="0" gridLinesSet="1"/>
  <pageMargins left="0.75" right="0.75" top="1" bottom="1" header="0.5" footer="0.5"/>
  <pageSetup orientation="portrait" paperSize="9" scale="100" fitToHeight="0" fitToWidth="1" pageOrder="downThenOver" blackAndWhite="0" draft="0" horizontalDpi="300" verticalDpi="300" copies="1"/>
  <headerFooter differentOddEven="0" differentFirst="0">
    <oddHeader>&amp;R&amp;8 Internal use</oddHeader>
    <oddFooter>&amp;L&amp;8 NIS2 Group Implementation Project&amp;R&amp;8 Page &amp;P of &amp;N</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BQ40"/>
  <sheetViews>
    <sheetView showFormulas="0" showGridLines="0" showRowColHeaders="1" showZeros="1" rightToLeft="0" tabSelected="0" showOutlineSymbols="1" defaultGridColor="1" view="normal"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baseColWidth="8" defaultColWidth="8.6796875" defaultRowHeight="15" zeroHeight="0" outlineLevelRow="0"/>
  <cols>
    <col width="8" customWidth="1" style="36" min="1" max="1"/>
    <col width="24" customWidth="1" style="36" min="2" max="2"/>
    <col width="59.14" customWidth="1" style="36" min="3" max="3"/>
    <col width="12" customWidth="1" style="36" min="4" max="5"/>
    <col width="13" customWidth="1" style="36" min="6" max="6"/>
    <col width="3.15" customWidth="1" style="36" min="7" max="69"/>
  </cols>
  <sheetData>
    <row r="1" ht="17.35" customHeight="1" s="37">
      <c r="A1" s="55" t="inlineStr">
        <is>
          <t>NIS2 Group Implementation Project</t>
        </is>
      </c>
    </row>
    <row r="2" ht="15" customHeight="1" s="37">
      <c r="A2" s="56" t="inlineStr">
        <is>
          <t>Gantt Chart (Weekly)</t>
        </is>
      </c>
    </row>
    <row r="3" ht="15" customHeight="1" s="37">
      <c r="A3" s="57" t="inlineStr">
        <is>
          <t>Automatically derived from the Master Plan. Bars follow planned start and finish; the current week is highlighted.</t>
        </is>
      </c>
    </row>
    <row r="4" ht="15" customHeight="1" s="37">
      <c r="I4" s="58" t="inlineStr">
        <is>
          <t>Oct 26</t>
        </is>
      </c>
      <c r="M4" s="58" t="inlineStr">
        <is>
          <t>Nov 26</t>
        </is>
      </c>
      <c r="R4" s="58" t="inlineStr">
        <is>
          <t>Dec 26</t>
        </is>
      </c>
      <c r="V4" s="58" t="inlineStr">
        <is>
          <t>Jan 27</t>
        </is>
      </c>
      <c r="Z4" s="58" t="inlineStr">
        <is>
          <t>Feb 27</t>
        </is>
      </c>
      <c r="AD4" s="58" t="inlineStr">
        <is>
          <t>Mar 27</t>
        </is>
      </c>
      <c r="AI4" s="58" t="inlineStr">
        <is>
          <t>Apr 27</t>
        </is>
      </c>
      <c r="AM4" s="58" t="inlineStr">
        <is>
          <t>May 27</t>
        </is>
      </c>
      <c r="AR4" s="58" t="inlineStr">
        <is>
          <t>Jun 27</t>
        </is>
      </c>
      <c r="AV4" s="58" t="inlineStr">
        <is>
          <t>Jul 27</t>
        </is>
      </c>
      <c r="AZ4" s="58" t="inlineStr">
        <is>
          <t>Aug 27</t>
        </is>
      </c>
      <c r="BE4" s="58" t="inlineStr">
        <is>
          <t>Sep 27</t>
        </is>
      </c>
      <c r="BI4" s="58" t="inlineStr">
        <is>
          <t>Oct 27</t>
        </is>
      </c>
      <c r="BM4" s="58" t="inlineStr">
        <is>
          <t>Nov 27</t>
        </is>
      </c>
    </row>
    <row r="5" ht="15" customHeight="1" s="37">
      <c r="A5" s="59" t="inlineStr">
        <is>
          <t>ID</t>
        </is>
      </c>
      <c r="B5" s="59" t="inlineStr">
        <is>
          <t>Phase</t>
        </is>
      </c>
      <c r="C5" s="59" t="inlineStr">
        <is>
          <t>Activity</t>
        </is>
      </c>
      <c r="D5" s="59" t="inlineStr">
        <is>
          <t>Start</t>
        </is>
      </c>
      <c r="E5" s="59" t="inlineStr">
        <is>
          <t>Finish</t>
        </is>
      </c>
      <c r="F5" s="59" t="inlineStr">
        <is>
          <t>Status</t>
        </is>
      </c>
      <c r="G5" s="60" t="n">
        <v>46286</v>
      </c>
      <c r="H5" s="60" t="n">
        <v>46293</v>
      </c>
      <c r="I5" s="60" t="n">
        <v>46300</v>
      </c>
      <c r="J5" s="60" t="n">
        <v>46307</v>
      </c>
      <c r="K5" s="60" t="n">
        <v>46314</v>
      </c>
      <c r="L5" s="60" t="n">
        <v>46321</v>
      </c>
      <c r="M5" s="60" t="n">
        <v>46328</v>
      </c>
      <c r="N5" s="60" t="n">
        <v>46335</v>
      </c>
      <c r="O5" s="60" t="n">
        <v>46342</v>
      </c>
      <c r="P5" s="60" t="n">
        <v>46349</v>
      </c>
      <c r="Q5" s="60" t="n">
        <v>46356</v>
      </c>
      <c r="R5" s="60" t="n">
        <v>46363</v>
      </c>
      <c r="S5" s="60" t="n">
        <v>46370</v>
      </c>
      <c r="T5" s="60" t="n">
        <v>46377</v>
      </c>
      <c r="U5" s="60" t="n">
        <v>46384</v>
      </c>
      <c r="V5" s="60" t="n">
        <v>46391</v>
      </c>
      <c r="W5" s="60" t="n">
        <v>46398</v>
      </c>
      <c r="X5" s="60" t="n">
        <v>46405</v>
      </c>
      <c r="Y5" s="60" t="n">
        <v>46412</v>
      </c>
      <c r="Z5" s="60" t="n">
        <v>46419</v>
      </c>
      <c r="AA5" s="60" t="n">
        <v>46426</v>
      </c>
      <c r="AB5" s="60" t="n">
        <v>46433</v>
      </c>
      <c r="AC5" s="60" t="n">
        <v>46440</v>
      </c>
      <c r="AD5" s="60" t="n">
        <v>46447</v>
      </c>
      <c r="AE5" s="60" t="n">
        <v>46454</v>
      </c>
      <c r="AF5" s="60" t="n">
        <v>46461</v>
      </c>
      <c r="AG5" s="60" t="n">
        <v>46468</v>
      </c>
      <c r="AH5" s="60" t="n">
        <v>46475</v>
      </c>
      <c r="AI5" s="60" t="n">
        <v>46482</v>
      </c>
      <c r="AJ5" s="60" t="n">
        <v>46489</v>
      </c>
      <c r="AK5" s="60" t="n">
        <v>46496</v>
      </c>
      <c r="AL5" s="60" t="n">
        <v>46503</v>
      </c>
      <c r="AM5" s="60" t="n">
        <v>46510</v>
      </c>
      <c r="AN5" s="60" t="n">
        <v>46517</v>
      </c>
      <c r="AO5" s="60" t="n">
        <v>46524</v>
      </c>
      <c r="AP5" s="60" t="n">
        <v>46531</v>
      </c>
      <c r="AQ5" s="60" t="n">
        <v>46538</v>
      </c>
      <c r="AR5" s="60" t="n">
        <v>46545</v>
      </c>
      <c r="AS5" s="60" t="n">
        <v>46552</v>
      </c>
      <c r="AT5" s="60" t="n">
        <v>46559</v>
      </c>
      <c r="AU5" s="60" t="n">
        <v>46566</v>
      </c>
      <c r="AV5" s="60" t="n">
        <v>46573</v>
      </c>
      <c r="AW5" s="60" t="n">
        <v>46580</v>
      </c>
      <c r="AX5" s="60" t="n">
        <v>46587</v>
      </c>
      <c r="AY5" s="60" t="n">
        <v>46594</v>
      </c>
      <c r="AZ5" s="60" t="n">
        <v>46601</v>
      </c>
      <c r="BA5" s="60" t="n">
        <v>46608</v>
      </c>
      <c r="BB5" s="60" t="n">
        <v>46615</v>
      </c>
      <c r="BC5" s="60" t="n">
        <v>46622</v>
      </c>
      <c r="BD5" s="60" t="n">
        <v>46629</v>
      </c>
      <c r="BE5" s="60" t="n">
        <v>46636</v>
      </c>
      <c r="BF5" s="60" t="n">
        <v>46643</v>
      </c>
      <c r="BG5" s="60" t="n">
        <v>46650</v>
      </c>
      <c r="BH5" s="60" t="n">
        <v>46657</v>
      </c>
      <c r="BI5" s="60" t="n">
        <v>46664</v>
      </c>
      <c r="BJ5" s="60" t="n">
        <v>46671</v>
      </c>
      <c r="BK5" s="60" t="n">
        <v>46678</v>
      </c>
      <c r="BL5" s="60" t="n">
        <v>46685</v>
      </c>
      <c r="BM5" s="60" t="n">
        <v>46692</v>
      </c>
      <c r="BN5" s="60" t="n">
        <v>46699</v>
      </c>
      <c r="BO5" s="60" t="n">
        <v>46706</v>
      </c>
      <c r="BP5" s="60" t="n">
        <v>46713</v>
      </c>
      <c r="BQ5" s="60" t="n">
        <v>46720</v>
      </c>
    </row>
    <row r="6" ht="15" customHeight="1" s="37">
      <c r="A6" s="61">
        <f>'Master Plan'!A6</f>
        <v/>
      </c>
      <c r="B6" s="61">
        <f>'Master Plan'!B6</f>
        <v/>
      </c>
      <c r="C6" s="61">
        <f>'Master Plan'!C6</f>
        <v/>
      </c>
      <c r="D6" s="62">
        <f>'Master Plan'!F6</f>
        <v/>
      </c>
      <c r="E6" s="62">
        <f>'Master Plan'!G6</f>
        <v/>
      </c>
      <c r="F6" s="61">
        <f>'Master Plan'!M6</f>
        <v/>
      </c>
      <c r="G6" s="63" t="n"/>
      <c r="H6" s="63" t="n"/>
      <c r="I6" s="63" t="n"/>
      <c r="J6" s="63" t="n"/>
      <c r="K6" s="63" t="n"/>
      <c r="L6" s="63" t="n"/>
      <c r="M6" s="63" t="n"/>
      <c r="N6" s="63" t="n"/>
      <c r="O6" s="63" t="n"/>
      <c r="P6" s="63" t="n"/>
      <c r="Q6" s="63" t="n"/>
      <c r="R6" s="63" t="n"/>
      <c r="S6" s="63" t="n"/>
      <c r="T6" s="63" t="n"/>
      <c r="U6" s="63" t="n"/>
      <c r="V6" s="63" t="n"/>
      <c r="W6" s="63" t="n"/>
      <c r="X6" s="63" t="n"/>
      <c r="Y6" s="63" t="n"/>
      <c r="Z6" s="63" t="n"/>
      <c r="AA6" s="63" t="n"/>
      <c r="AB6" s="63" t="n"/>
      <c r="AC6" s="63" t="n"/>
      <c r="AD6" s="63" t="n"/>
      <c r="AE6" s="63" t="n"/>
      <c r="AF6" s="63" t="n"/>
      <c r="AG6" s="63" t="n"/>
      <c r="AH6" s="63" t="n"/>
      <c r="AI6" s="63" t="n"/>
      <c r="AJ6" s="63" t="n"/>
      <c r="AK6" s="63" t="n"/>
      <c r="AL6" s="63" t="n"/>
      <c r="AM6" s="63" t="n"/>
      <c r="AN6" s="63" t="n"/>
      <c r="AO6" s="63" t="n"/>
      <c r="AP6" s="63" t="n"/>
      <c r="AQ6" s="63" t="n"/>
      <c r="AR6" s="63" t="n"/>
      <c r="AS6" s="63" t="n"/>
      <c r="AT6" s="63" t="n"/>
      <c r="AU6" s="63" t="n"/>
      <c r="AV6" s="63" t="n"/>
      <c r="AW6" s="63" t="n"/>
      <c r="AX6" s="63" t="n"/>
      <c r="AY6" s="63" t="n"/>
      <c r="AZ6" s="63" t="n"/>
      <c r="BA6" s="63" t="n"/>
      <c r="BB6" s="63" t="n"/>
      <c r="BC6" s="63" t="n"/>
      <c r="BD6" s="63" t="n"/>
      <c r="BE6" s="63" t="n"/>
      <c r="BF6" s="63" t="n"/>
      <c r="BG6" s="63" t="n"/>
      <c r="BH6" s="63" t="n"/>
      <c r="BI6" s="63" t="n"/>
      <c r="BJ6" s="63" t="n"/>
      <c r="BK6" s="63" t="n"/>
      <c r="BL6" s="63" t="n"/>
      <c r="BM6" s="63" t="n"/>
      <c r="BN6" s="63" t="n"/>
      <c r="BO6" s="63" t="n"/>
      <c r="BP6" s="63" t="n"/>
      <c r="BQ6" s="63" t="n"/>
    </row>
    <row r="7" ht="15" customHeight="1" s="37">
      <c r="A7" s="61">
        <f>'Master Plan'!A7</f>
        <v/>
      </c>
      <c r="B7" s="61">
        <f>'Master Plan'!B7</f>
        <v/>
      </c>
      <c r="C7" s="61">
        <f>'Master Plan'!C7</f>
        <v/>
      </c>
      <c r="D7" s="62">
        <f>'Master Plan'!F7</f>
        <v/>
      </c>
      <c r="E7" s="62">
        <f>'Master Plan'!G7</f>
        <v/>
      </c>
      <c r="F7" s="61">
        <f>'Master Plan'!M7</f>
        <v/>
      </c>
      <c r="G7" s="63" t="n"/>
      <c r="H7" s="63" t="n"/>
      <c r="I7" s="63" t="n"/>
      <c r="J7" s="63" t="n"/>
      <c r="K7" s="63" t="n"/>
      <c r="L7" s="63" t="n"/>
      <c r="M7" s="63" t="n"/>
      <c r="N7" s="63" t="n"/>
      <c r="O7" s="63" t="n"/>
      <c r="P7" s="63" t="n"/>
      <c r="Q7" s="63" t="n"/>
      <c r="R7" s="63" t="n"/>
      <c r="S7" s="63" t="n"/>
      <c r="T7" s="63" t="n"/>
      <c r="U7" s="63" t="n"/>
      <c r="V7" s="63" t="n"/>
      <c r="W7" s="63" t="n"/>
      <c r="X7" s="63" t="n"/>
      <c r="Y7" s="63" t="n"/>
      <c r="Z7" s="63" t="n"/>
      <c r="AA7" s="63" t="n"/>
      <c r="AB7" s="63" t="n"/>
      <c r="AC7" s="63" t="n"/>
      <c r="AD7" s="63" t="n"/>
      <c r="AE7" s="63" t="n"/>
      <c r="AF7" s="63" t="n"/>
      <c r="AG7" s="63" t="n"/>
      <c r="AH7" s="63" t="n"/>
      <c r="AI7" s="63" t="n"/>
      <c r="AJ7" s="63" t="n"/>
      <c r="AK7" s="63" t="n"/>
      <c r="AL7" s="63" t="n"/>
      <c r="AM7" s="63" t="n"/>
      <c r="AN7" s="63" t="n"/>
      <c r="AO7" s="63" t="n"/>
      <c r="AP7" s="63" t="n"/>
      <c r="AQ7" s="63" t="n"/>
      <c r="AR7" s="63" t="n"/>
      <c r="AS7" s="63" t="n"/>
      <c r="AT7" s="63" t="n"/>
      <c r="AU7" s="63" t="n"/>
      <c r="AV7" s="63" t="n"/>
      <c r="AW7" s="63" t="n"/>
      <c r="AX7" s="63" t="n"/>
      <c r="AY7" s="63" t="n"/>
      <c r="AZ7" s="63" t="n"/>
      <c r="BA7" s="63" t="n"/>
      <c r="BB7" s="63" t="n"/>
      <c r="BC7" s="63" t="n"/>
      <c r="BD7" s="63" t="n"/>
      <c r="BE7" s="63" t="n"/>
      <c r="BF7" s="63" t="n"/>
      <c r="BG7" s="63" t="n"/>
      <c r="BH7" s="63" t="n"/>
      <c r="BI7" s="63" t="n"/>
      <c r="BJ7" s="63" t="n"/>
      <c r="BK7" s="63" t="n"/>
      <c r="BL7" s="63" t="n"/>
      <c r="BM7" s="63" t="n"/>
      <c r="BN7" s="63" t="n"/>
      <c r="BO7" s="63" t="n"/>
      <c r="BP7" s="63" t="n"/>
      <c r="BQ7" s="63" t="n"/>
    </row>
    <row r="8" ht="15" customHeight="1" s="37">
      <c r="A8" s="61">
        <f>'Master Plan'!A8</f>
        <v/>
      </c>
      <c r="B8" s="61">
        <f>'Master Plan'!B8</f>
        <v/>
      </c>
      <c r="C8" s="61">
        <f>'Master Plan'!C8</f>
        <v/>
      </c>
      <c r="D8" s="62">
        <f>'Master Plan'!F8</f>
        <v/>
      </c>
      <c r="E8" s="62">
        <f>'Master Plan'!G8</f>
        <v/>
      </c>
      <c r="F8" s="61">
        <f>'Master Plan'!M8</f>
        <v/>
      </c>
      <c r="G8" s="63" t="n"/>
      <c r="H8" s="63" t="n"/>
      <c r="I8" s="63" t="n"/>
      <c r="J8" s="63" t="n"/>
      <c r="K8" s="63" t="n"/>
      <c r="L8" s="63" t="n"/>
      <c r="M8" s="63" t="n"/>
      <c r="N8" s="63" t="n"/>
      <c r="O8" s="63" t="n"/>
      <c r="P8" s="63" t="n"/>
      <c r="Q8" s="63" t="n"/>
      <c r="R8" s="63" t="n"/>
      <c r="S8" s="63" t="n"/>
      <c r="T8" s="63" t="n"/>
      <c r="U8" s="63" t="n"/>
      <c r="V8" s="63" t="n"/>
      <c r="W8" s="63" t="n"/>
      <c r="X8" s="63" t="n"/>
      <c r="Y8" s="63" t="n"/>
      <c r="Z8" s="63" t="n"/>
      <c r="AA8" s="63" t="n"/>
      <c r="AB8" s="63" t="n"/>
      <c r="AC8" s="63" t="n"/>
      <c r="AD8" s="63" t="n"/>
      <c r="AE8" s="63" t="n"/>
      <c r="AF8" s="63" t="n"/>
      <c r="AG8" s="63" t="n"/>
      <c r="AH8" s="63" t="n"/>
      <c r="AI8" s="63" t="n"/>
      <c r="AJ8" s="63" t="n"/>
      <c r="AK8" s="63" t="n"/>
      <c r="AL8" s="63" t="n"/>
      <c r="AM8" s="63" t="n"/>
      <c r="AN8" s="63" t="n"/>
      <c r="AO8" s="63" t="n"/>
      <c r="AP8" s="63" t="n"/>
      <c r="AQ8" s="63" t="n"/>
      <c r="AR8" s="63" t="n"/>
      <c r="AS8" s="63" t="n"/>
      <c r="AT8" s="63" t="n"/>
      <c r="AU8" s="63" t="n"/>
      <c r="AV8" s="63" t="n"/>
      <c r="AW8" s="63" t="n"/>
      <c r="AX8" s="63" t="n"/>
      <c r="AY8" s="63" t="n"/>
      <c r="AZ8" s="63" t="n"/>
      <c r="BA8" s="63" t="n"/>
      <c r="BB8" s="63" t="n"/>
      <c r="BC8" s="63" t="n"/>
      <c r="BD8" s="63" t="n"/>
      <c r="BE8" s="63" t="n"/>
      <c r="BF8" s="63" t="n"/>
      <c r="BG8" s="63" t="n"/>
      <c r="BH8" s="63" t="n"/>
      <c r="BI8" s="63" t="n"/>
      <c r="BJ8" s="63" t="n"/>
      <c r="BK8" s="63" t="n"/>
      <c r="BL8" s="63" t="n"/>
      <c r="BM8" s="63" t="n"/>
      <c r="BN8" s="63" t="n"/>
      <c r="BO8" s="63" t="n"/>
      <c r="BP8" s="63" t="n"/>
      <c r="BQ8" s="63" t="n"/>
    </row>
    <row r="9" ht="15" customHeight="1" s="37">
      <c r="A9" s="61">
        <f>'Master Plan'!A9</f>
        <v/>
      </c>
      <c r="B9" s="61">
        <f>'Master Plan'!B9</f>
        <v/>
      </c>
      <c r="C9" s="61">
        <f>'Master Plan'!C9</f>
        <v/>
      </c>
      <c r="D9" s="62">
        <f>'Master Plan'!F9</f>
        <v/>
      </c>
      <c r="E9" s="62">
        <f>'Master Plan'!G9</f>
        <v/>
      </c>
      <c r="F9" s="61">
        <f>'Master Plan'!M9</f>
        <v/>
      </c>
      <c r="G9" s="63" t="n"/>
      <c r="H9" s="63" t="n"/>
      <c r="I9" s="63" t="n"/>
      <c r="J9" s="63" t="n"/>
      <c r="K9" s="63" t="n"/>
      <c r="L9" s="63" t="n"/>
      <c r="M9" s="63" t="n"/>
      <c r="N9" s="63" t="n"/>
      <c r="O9" s="63" t="n"/>
      <c r="P9" s="63" t="n"/>
      <c r="Q9" s="63" t="n"/>
      <c r="R9" s="63" t="n"/>
      <c r="S9" s="63" t="n"/>
      <c r="T9" s="63" t="n"/>
      <c r="U9" s="63" t="n"/>
      <c r="V9" s="63" t="n"/>
      <c r="W9" s="63" t="n"/>
      <c r="X9" s="63" t="n"/>
      <c r="Y9" s="63" t="n"/>
      <c r="Z9" s="63" t="n"/>
      <c r="AA9" s="63" t="n"/>
      <c r="AB9" s="63" t="n"/>
      <c r="AC9" s="63" t="n"/>
      <c r="AD9" s="63" t="n"/>
      <c r="AE9" s="63" t="n"/>
      <c r="AF9" s="63" t="n"/>
      <c r="AG9" s="63" t="n"/>
      <c r="AH9" s="63" t="n"/>
      <c r="AI9" s="63" t="n"/>
      <c r="AJ9" s="63" t="n"/>
      <c r="AK9" s="63" t="n"/>
      <c r="AL9" s="63" t="n"/>
      <c r="AM9" s="63" t="n"/>
      <c r="AN9" s="63" t="n"/>
      <c r="AO9" s="63" t="n"/>
      <c r="AP9" s="63" t="n"/>
      <c r="AQ9" s="63" t="n"/>
      <c r="AR9" s="63" t="n"/>
      <c r="AS9" s="63" t="n"/>
      <c r="AT9" s="63" t="n"/>
      <c r="AU9" s="63" t="n"/>
      <c r="AV9" s="63" t="n"/>
      <c r="AW9" s="63" t="n"/>
      <c r="AX9" s="63" t="n"/>
      <c r="AY9" s="63" t="n"/>
      <c r="AZ9" s="63" t="n"/>
      <c r="BA9" s="63" t="n"/>
      <c r="BB9" s="63" t="n"/>
      <c r="BC9" s="63" t="n"/>
      <c r="BD9" s="63" t="n"/>
      <c r="BE9" s="63" t="n"/>
      <c r="BF9" s="63" t="n"/>
      <c r="BG9" s="63" t="n"/>
      <c r="BH9" s="63" t="n"/>
      <c r="BI9" s="63" t="n"/>
      <c r="BJ9" s="63" t="n"/>
      <c r="BK9" s="63" t="n"/>
      <c r="BL9" s="63" t="n"/>
      <c r="BM9" s="63" t="n"/>
      <c r="BN9" s="63" t="n"/>
      <c r="BO9" s="63" t="n"/>
      <c r="BP9" s="63" t="n"/>
      <c r="BQ9" s="63" t="n"/>
    </row>
    <row r="10" ht="15" customHeight="1" s="37">
      <c r="A10" s="61">
        <f>'Master Plan'!A10</f>
        <v/>
      </c>
      <c r="B10" s="61">
        <f>'Master Plan'!B10</f>
        <v/>
      </c>
      <c r="C10" s="61">
        <f>'Master Plan'!C10</f>
        <v/>
      </c>
      <c r="D10" s="62">
        <f>'Master Plan'!F10</f>
        <v/>
      </c>
      <c r="E10" s="62">
        <f>'Master Plan'!G10</f>
        <v/>
      </c>
      <c r="F10" s="61">
        <f>'Master Plan'!M10</f>
        <v/>
      </c>
      <c r="G10" s="63" t="n"/>
      <c r="H10" s="63" t="n"/>
      <c r="I10" s="63" t="n"/>
      <c r="J10" s="63" t="n"/>
      <c r="K10" s="63" t="n"/>
      <c r="L10" s="63" t="n"/>
      <c r="M10" s="63" t="n"/>
      <c r="N10" s="63" t="n"/>
      <c r="O10" s="63" t="n"/>
      <c r="P10" s="63" t="n"/>
      <c r="Q10" s="63" t="n"/>
      <c r="R10" s="63" t="n"/>
      <c r="S10" s="63" t="n"/>
      <c r="T10" s="63" t="n"/>
      <c r="U10" s="63" t="n"/>
      <c r="V10" s="63" t="n"/>
      <c r="W10" s="63" t="n"/>
      <c r="X10" s="63" t="n"/>
      <c r="Y10" s="63" t="n"/>
      <c r="Z10" s="63" t="n"/>
      <c r="AA10" s="63" t="n"/>
      <c r="AB10" s="63" t="n"/>
      <c r="AC10" s="63" t="n"/>
      <c r="AD10" s="63" t="n"/>
      <c r="AE10" s="63" t="n"/>
      <c r="AF10" s="63" t="n"/>
      <c r="AG10" s="63" t="n"/>
      <c r="AH10" s="63" t="n"/>
      <c r="AI10" s="63" t="n"/>
      <c r="AJ10" s="63" t="n"/>
      <c r="AK10" s="63" t="n"/>
      <c r="AL10" s="63" t="n"/>
      <c r="AM10" s="63" t="n"/>
      <c r="AN10" s="63" t="n"/>
      <c r="AO10" s="63" t="n"/>
      <c r="AP10" s="63" t="n"/>
      <c r="AQ10" s="63" t="n"/>
      <c r="AR10" s="63" t="n"/>
      <c r="AS10" s="63" t="n"/>
      <c r="AT10" s="63" t="n"/>
      <c r="AU10" s="63" t="n"/>
      <c r="AV10" s="63" t="n"/>
      <c r="AW10" s="63" t="n"/>
      <c r="AX10" s="63" t="n"/>
      <c r="AY10" s="63" t="n"/>
      <c r="AZ10" s="63" t="n"/>
      <c r="BA10" s="63" t="n"/>
      <c r="BB10" s="63" t="n"/>
      <c r="BC10" s="63" t="n"/>
      <c r="BD10" s="63" t="n"/>
      <c r="BE10" s="63" t="n"/>
      <c r="BF10" s="63" t="n"/>
      <c r="BG10" s="63" t="n"/>
      <c r="BH10" s="63" t="n"/>
      <c r="BI10" s="63" t="n"/>
      <c r="BJ10" s="63" t="n"/>
      <c r="BK10" s="63" t="n"/>
      <c r="BL10" s="63" t="n"/>
      <c r="BM10" s="63" t="n"/>
      <c r="BN10" s="63" t="n"/>
      <c r="BO10" s="63" t="n"/>
      <c r="BP10" s="63" t="n"/>
      <c r="BQ10" s="63" t="n"/>
    </row>
    <row r="11" ht="15" customHeight="1" s="37">
      <c r="A11" s="61">
        <f>'Master Plan'!A11</f>
        <v/>
      </c>
      <c r="B11" s="61">
        <f>'Master Plan'!B11</f>
        <v/>
      </c>
      <c r="C11" s="61">
        <f>'Master Plan'!C11</f>
        <v/>
      </c>
      <c r="D11" s="62">
        <f>'Master Plan'!F11</f>
        <v/>
      </c>
      <c r="E11" s="62">
        <f>'Master Plan'!G11</f>
        <v/>
      </c>
      <c r="F11" s="61">
        <f>'Master Plan'!M11</f>
        <v/>
      </c>
      <c r="G11" s="63" t="n"/>
      <c r="H11" s="63" t="n"/>
      <c r="I11" s="63" t="n"/>
      <c r="J11" s="63" t="n"/>
      <c r="K11" s="63" t="n"/>
      <c r="L11" s="63" t="n"/>
      <c r="M11" s="63" t="n"/>
      <c r="N11" s="63" t="n"/>
      <c r="O11" s="63" t="n"/>
      <c r="P11" s="63" t="n"/>
      <c r="Q11" s="63" t="n"/>
      <c r="R11" s="63" t="n"/>
      <c r="S11" s="63" t="n"/>
      <c r="T11" s="63" t="n"/>
      <c r="U11" s="63" t="n"/>
      <c r="V11" s="63" t="n"/>
      <c r="W11" s="63" t="n"/>
      <c r="X11" s="63" t="n"/>
      <c r="Y11" s="63" t="n"/>
      <c r="Z11" s="63" t="n"/>
      <c r="AA11" s="63" t="n"/>
      <c r="AB11" s="63" t="n"/>
      <c r="AC11" s="63" t="n"/>
      <c r="AD11" s="63" t="n"/>
      <c r="AE11" s="63" t="n"/>
      <c r="AF11" s="63" t="n"/>
      <c r="AG11" s="63" t="n"/>
      <c r="AH11" s="63" t="n"/>
      <c r="AI11" s="63" t="n"/>
      <c r="AJ11" s="63" t="n"/>
      <c r="AK11" s="63" t="n"/>
      <c r="AL11" s="63" t="n"/>
      <c r="AM11" s="63" t="n"/>
      <c r="AN11" s="63" t="n"/>
      <c r="AO11" s="63" t="n"/>
      <c r="AP11" s="63" t="n"/>
      <c r="AQ11" s="63" t="n"/>
      <c r="AR11" s="63" t="n"/>
      <c r="AS11" s="63" t="n"/>
      <c r="AT11" s="63" t="n"/>
      <c r="AU11" s="63" t="n"/>
      <c r="AV11" s="63" t="n"/>
      <c r="AW11" s="63" t="n"/>
      <c r="AX11" s="63" t="n"/>
      <c r="AY11" s="63" t="n"/>
      <c r="AZ11" s="63" t="n"/>
      <c r="BA11" s="63" t="n"/>
      <c r="BB11" s="63" t="n"/>
      <c r="BC11" s="63" t="n"/>
      <c r="BD11" s="63" t="n"/>
      <c r="BE11" s="63" t="n"/>
      <c r="BF11" s="63" t="n"/>
      <c r="BG11" s="63" t="n"/>
      <c r="BH11" s="63" t="n"/>
      <c r="BI11" s="63" t="n"/>
      <c r="BJ11" s="63" t="n"/>
      <c r="BK11" s="63" t="n"/>
      <c r="BL11" s="63" t="n"/>
      <c r="BM11" s="63" t="n"/>
      <c r="BN11" s="63" t="n"/>
      <c r="BO11" s="63" t="n"/>
      <c r="BP11" s="63" t="n"/>
      <c r="BQ11" s="63" t="n"/>
    </row>
    <row r="12" ht="15" customHeight="1" s="37">
      <c r="A12" s="61">
        <f>'Master Plan'!A12</f>
        <v/>
      </c>
      <c r="B12" s="61">
        <f>'Master Plan'!B12</f>
        <v/>
      </c>
      <c r="C12" s="61">
        <f>'Master Plan'!C12</f>
        <v/>
      </c>
      <c r="D12" s="62">
        <f>'Master Plan'!F12</f>
        <v/>
      </c>
      <c r="E12" s="62">
        <f>'Master Plan'!G12</f>
        <v/>
      </c>
      <c r="F12" s="61">
        <f>'Master Plan'!M12</f>
        <v/>
      </c>
      <c r="G12" s="63" t="n"/>
      <c r="H12" s="63" t="n"/>
      <c r="I12" s="63" t="n"/>
      <c r="J12" s="63" t="n"/>
      <c r="K12" s="63" t="n"/>
      <c r="L12" s="63" t="n"/>
      <c r="M12" s="63" t="n"/>
      <c r="N12" s="63" t="n"/>
      <c r="O12" s="63" t="n"/>
      <c r="P12" s="63" t="n"/>
      <c r="Q12" s="63" t="n"/>
      <c r="R12" s="63" t="n"/>
      <c r="S12" s="63" t="n"/>
      <c r="T12" s="63" t="n"/>
      <c r="U12" s="63" t="n"/>
      <c r="V12" s="63" t="n"/>
      <c r="W12" s="63" t="n"/>
      <c r="X12" s="63" t="n"/>
      <c r="Y12" s="63" t="n"/>
      <c r="Z12" s="63" t="n"/>
      <c r="AA12" s="63" t="n"/>
      <c r="AB12" s="63" t="n"/>
      <c r="AC12" s="63" t="n"/>
      <c r="AD12" s="63" t="n"/>
      <c r="AE12" s="63" t="n"/>
      <c r="AF12" s="63" t="n"/>
      <c r="AG12" s="63" t="n"/>
      <c r="AH12" s="63" t="n"/>
      <c r="AI12" s="63" t="n"/>
      <c r="AJ12" s="63" t="n"/>
      <c r="AK12" s="63" t="n"/>
      <c r="AL12" s="63" t="n"/>
      <c r="AM12" s="63" t="n"/>
      <c r="AN12" s="63" t="n"/>
      <c r="AO12" s="63" t="n"/>
      <c r="AP12" s="63" t="n"/>
      <c r="AQ12" s="63" t="n"/>
      <c r="AR12" s="63" t="n"/>
      <c r="AS12" s="63" t="n"/>
      <c r="AT12" s="63" t="n"/>
      <c r="AU12" s="63" t="n"/>
      <c r="AV12" s="63" t="n"/>
      <c r="AW12" s="63" t="n"/>
      <c r="AX12" s="63" t="n"/>
      <c r="AY12" s="63" t="n"/>
      <c r="AZ12" s="63" t="n"/>
      <c r="BA12" s="63" t="n"/>
      <c r="BB12" s="63" t="n"/>
      <c r="BC12" s="63" t="n"/>
      <c r="BD12" s="63" t="n"/>
      <c r="BE12" s="63" t="n"/>
      <c r="BF12" s="63" t="n"/>
      <c r="BG12" s="63" t="n"/>
      <c r="BH12" s="63" t="n"/>
      <c r="BI12" s="63" t="n"/>
      <c r="BJ12" s="63" t="n"/>
      <c r="BK12" s="63" t="n"/>
      <c r="BL12" s="63" t="n"/>
      <c r="BM12" s="63" t="n"/>
      <c r="BN12" s="63" t="n"/>
      <c r="BO12" s="63" t="n"/>
      <c r="BP12" s="63" t="n"/>
      <c r="BQ12" s="63" t="n"/>
    </row>
    <row r="13" ht="15" customHeight="1" s="37">
      <c r="A13" s="61">
        <f>'Master Plan'!A13</f>
        <v/>
      </c>
      <c r="B13" s="61">
        <f>'Master Plan'!B13</f>
        <v/>
      </c>
      <c r="C13" s="61">
        <f>'Master Plan'!C13</f>
        <v/>
      </c>
      <c r="D13" s="62">
        <f>'Master Plan'!F13</f>
        <v/>
      </c>
      <c r="E13" s="62">
        <f>'Master Plan'!G13</f>
        <v/>
      </c>
      <c r="F13" s="61">
        <f>'Master Plan'!M13</f>
        <v/>
      </c>
      <c r="G13" s="63" t="n"/>
      <c r="H13" s="63" t="n"/>
      <c r="I13" s="63" t="n"/>
      <c r="J13" s="63" t="n"/>
      <c r="K13" s="63" t="n"/>
      <c r="L13" s="63" t="n"/>
      <c r="M13" s="63" t="n"/>
      <c r="N13" s="63" t="n"/>
      <c r="O13" s="63" t="n"/>
      <c r="P13" s="63" t="n"/>
      <c r="Q13" s="63" t="n"/>
      <c r="R13" s="63" t="n"/>
      <c r="S13" s="63" t="n"/>
      <c r="T13" s="63" t="n"/>
      <c r="U13" s="63" t="n"/>
      <c r="V13" s="63" t="n"/>
      <c r="W13" s="63" t="n"/>
      <c r="X13" s="63" t="n"/>
      <c r="Y13" s="63" t="n"/>
      <c r="Z13" s="63" t="n"/>
      <c r="AA13" s="63" t="n"/>
      <c r="AB13" s="63" t="n"/>
      <c r="AC13" s="63" t="n"/>
      <c r="AD13" s="63" t="n"/>
      <c r="AE13" s="63" t="n"/>
      <c r="AF13" s="63" t="n"/>
      <c r="AG13" s="63" t="n"/>
      <c r="AH13" s="63" t="n"/>
      <c r="AI13" s="63" t="n"/>
      <c r="AJ13" s="63" t="n"/>
      <c r="AK13" s="63" t="n"/>
      <c r="AL13" s="63" t="n"/>
      <c r="AM13" s="63" t="n"/>
      <c r="AN13" s="63" t="n"/>
      <c r="AO13" s="63" t="n"/>
      <c r="AP13" s="63" t="n"/>
      <c r="AQ13" s="63" t="n"/>
      <c r="AR13" s="63" t="n"/>
      <c r="AS13" s="63" t="n"/>
      <c r="AT13" s="63" t="n"/>
      <c r="AU13" s="63" t="n"/>
      <c r="AV13" s="63" t="n"/>
      <c r="AW13" s="63" t="n"/>
      <c r="AX13" s="63" t="n"/>
      <c r="AY13" s="63" t="n"/>
      <c r="AZ13" s="63" t="n"/>
      <c r="BA13" s="63" t="n"/>
      <c r="BB13" s="63" t="n"/>
      <c r="BC13" s="63" t="n"/>
      <c r="BD13" s="63" t="n"/>
      <c r="BE13" s="63" t="n"/>
      <c r="BF13" s="63" t="n"/>
      <c r="BG13" s="63" t="n"/>
      <c r="BH13" s="63" t="n"/>
      <c r="BI13" s="63" t="n"/>
      <c r="BJ13" s="63" t="n"/>
      <c r="BK13" s="63" t="n"/>
      <c r="BL13" s="63" t="n"/>
      <c r="BM13" s="63" t="n"/>
      <c r="BN13" s="63" t="n"/>
      <c r="BO13" s="63" t="n"/>
      <c r="BP13" s="63" t="n"/>
      <c r="BQ13" s="63" t="n"/>
    </row>
    <row r="14" ht="15" customHeight="1" s="37">
      <c r="A14" s="61">
        <f>'Master Plan'!A14</f>
        <v/>
      </c>
      <c r="B14" s="61">
        <f>'Master Plan'!B14</f>
        <v/>
      </c>
      <c r="C14" s="61">
        <f>'Master Plan'!C14</f>
        <v/>
      </c>
      <c r="D14" s="62">
        <f>'Master Plan'!F14</f>
        <v/>
      </c>
      <c r="E14" s="62">
        <f>'Master Plan'!G14</f>
        <v/>
      </c>
      <c r="F14" s="61">
        <f>'Master Plan'!M14</f>
        <v/>
      </c>
      <c r="G14" s="63" t="n"/>
      <c r="H14" s="63" t="n"/>
      <c r="I14" s="63" t="n"/>
      <c r="J14" s="63" t="n"/>
      <c r="K14" s="63" t="n"/>
      <c r="L14" s="63" t="n"/>
      <c r="M14" s="63" t="n"/>
      <c r="N14" s="63" t="n"/>
      <c r="O14" s="63" t="n"/>
      <c r="P14" s="63" t="n"/>
      <c r="Q14" s="63" t="n"/>
      <c r="R14" s="63" t="n"/>
      <c r="S14" s="63" t="n"/>
      <c r="T14" s="63" t="n"/>
      <c r="U14" s="63" t="n"/>
      <c r="V14" s="63" t="n"/>
      <c r="W14" s="63" t="n"/>
      <c r="X14" s="63" t="n"/>
      <c r="Y14" s="63" t="n"/>
      <c r="Z14" s="63" t="n"/>
      <c r="AA14" s="63" t="n"/>
      <c r="AB14" s="63" t="n"/>
      <c r="AC14" s="63" t="n"/>
      <c r="AD14" s="63" t="n"/>
      <c r="AE14" s="63" t="n"/>
      <c r="AF14" s="63" t="n"/>
      <c r="AG14" s="63" t="n"/>
      <c r="AH14" s="63" t="n"/>
      <c r="AI14" s="63" t="n"/>
      <c r="AJ14" s="63" t="n"/>
      <c r="AK14" s="63" t="n"/>
      <c r="AL14" s="63" t="n"/>
      <c r="AM14" s="63" t="n"/>
      <c r="AN14" s="63" t="n"/>
      <c r="AO14" s="63" t="n"/>
      <c r="AP14" s="63" t="n"/>
      <c r="AQ14" s="63" t="n"/>
      <c r="AR14" s="63" t="n"/>
      <c r="AS14" s="63" t="n"/>
      <c r="AT14" s="63" t="n"/>
      <c r="AU14" s="63" t="n"/>
      <c r="AV14" s="63" t="n"/>
      <c r="AW14" s="63" t="n"/>
      <c r="AX14" s="63" t="n"/>
      <c r="AY14" s="63" t="n"/>
      <c r="AZ14" s="63" t="n"/>
      <c r="BA14" s="63" t="n"/>
      <c r="BB14" s="63" t="n"/>
      <c r="BC14" s="63" t="n"/>
      <c r="BD14" s="63" t="n"/>
      <c r="BE14" s="63" t="n"/>
      <c r="BF14" s="63" t="n"/>
      <c r="BG14" s="63" t="n"/>
      <c r="BH14" s="63" t="n"/>
      <c r="BI14" s="63" t="n"/>
      <c r="BJ14" s="63" t="n"/>
      <c r="BK14" s="63" t="n"/>
      <c r="BL14" s="63" t="n"/>
      <c r="BM14" s="63" t="n"/>
      <c r="BN14" s="63" t="n"/>
      <c r="BO14" s="63" t="n"/>
      <c r="BP14" s="63" t="n"/>
      <c r="BQ14" s="63" t="n"/>
    </row>
    <row r="15" ht="15" customHeight="1" s="37">
      <c r="A15" s="61">
        <f>'Master Plan'!A15</f>
        <v/>
      </c>
      <c r="B15" s="61">
        <f>'Master Plan'!B15</f>
        <v/>
      </c>
      <c r="C15" s="61">
        <f>'Master Plan'!C15</f>
        <v/>
      </c>
      <c r="D15" s="62">
        <f>'Master Plan'!F15</f>
        <v/>
      </c>
      <c r="E15" s="62">
        <f>'Master Plan'!G15</f>
        <v/>
      </c>
      <c r="F15" s="61">
        <f>'Master Plan'!M15</f>
        <v/>
      </c>
      <c r="G15" s="63" t="n"/>
      <c r="H15" s="63" t="n"/>
      <c r="I15" s="63" t="n"/>
      <c r="J15" s="63" t="n"/>
      <c r="K15" s="63" t="n"/>
      <c r="L15" s="63" t="n"/>
      <c r="M15" s="63" t="n"/>
      <c r="N15" s="63" t="n"/>
      <c r="O15" s="63" t="n"/>
      <c r="P15" s="63" t="n"/>
      <c r="Q15" s="63" t="n"/>
      <c r="R15" s="63" t="n"/>
      <c r="S15" s="63" t="n"/>
      <c r="T15" s="63" t="n"/>
      <c r="U15" s="63" t="n"/>
      <c r="V15" s="63" t="n"/>
      <c r="W15" s="63" t="n"/>
      <c r="X15" s="63" t="n"/>
      <c r="Y15" s="63" t="n"/>
      <c r="Z15" s="63" t="n"/>
      <c r="AA15" s="63" t="n"/>
      <c r="AB15" s="63" t="n"/>
      <c r="AC15" s="63" t="n"/>
      <c r="AD15" s="63" t="n"/>
      <c r="AE15" s="63" t="n"/>
      <c r="AF15" s="63" t="n"/>
      <c r="AG15" s="63" t="n"/>
      <c r="AH15" s="63" t="n"/>
      <c r="AI15" s="63" t="n"/>
      <c r="AJ15" s="63" t="n"/>
      <c r="AK15" s="63" t="n"/>
      <c r="AL15" s="63" t="n"/>
      <c r="AM15" s="63" t="n"/>
      <c r="AN15" s="63" t="n"/>
      <c r="AO15" s="63" t="n"/>
      <c r="AP15" s="63" t="n"/>
      <c r="AQ15" s="63" t="n"/>
      <c r="AR15" s="63" t="n"/>
      <c r="AS15" s="63" t="n"/>
      <c r="AT15" s="63" t="n"/>
      <c r="AU15" s="63" t="n"/>
      <c r="AV15" s="63" t="n"/>
      <c r="AW15" s="63" t="n"/>
      <c r="AX15" s="63" t="n"/>
      <c r="AY15" s="63" t="n"/>
      <c r="AZ15" s="63" t="n"/>
      <c r="BA15" s="63" t="n"/>
      <c r="BB15" s="63" t="n"/>
      <c r="BC15" s="63" t="n"/>
      <c r="BD15" s="63" t="n"/>
      <c r="BE15" s="63" t="n"/>
      <c r="BF15" s="63" t="n"/>
      <c r="BG15" s="63" t="n"/>
      <c r="BH15" s="63" t="n"/>
      <c r="BI15" s="63" t="n"/>
      <c r="BJ15" s="63" t="n"/>
      <c r="BK15" s="63" t="n"/>
      <c r="BL15" s="63" t="n"/>
      <c r="BM15" s="63" t="n"/>
      <c r="BN15" s="63" t="n"/>
      <c r="BO15" s="63" t="n"/>
      <c r="BP15" s="63" t="n"/>
      <c r="BQ15" s="63" t="n"/>
    </row>
    <row r="16" ht="15" customHeight="1" s="37">
      <c r="A16" s="61">
        <f>'Master Plan'!A16</f>
        <v/>
      </c>
      <c r="B16" s="61">
        <f>'Master Plan'!B16</f>
        <v/>
      </c>
      <c r="C16" s="61">
        <f>'Master Plan'!C16</f>
        <v/>
      </c>
      <c r="D16" s="62">
        <f>'Master Plan'!F16</f>
        <v/>
      </c>
      <c r="E16" s="62">
        <f>'Master Plan'!G16</f>
        <v/>
      </c>
      <c r="F16" s="61">
        <f>'Master Plan'!M16</f>
        <v/>
      </c>
      <c r="G16" s="63" t="n"/>
      <c r="H16" s="63" t="n"/>
      <c r="I16" s="63" t="n"/>
      <c r="J16" s="63" t="n"/>
      <c r="K16" s="63" t="n"/>
      <c r="L16" s="63" t="n"/>
      <c r="M16" s="63" t="n"/>
      <c r="N16" s="63" t="n"/>
      <c r="O16" s="63" t="n"/>
      <c r="P16" s="63" t="n"/>
      <c r="Q16" s="63" t="n"/>
      <c r="R16" s="63" t="n"/>
      <c r="S16" s="63" t="n"/>
      <c r="T16" s="63" t="n"/>
      <c r="U16" s="63" t="n"/>
      <c r="V16" s="63" t="n"/>
      <c r="W16" s="63" t="n"/>
      <c r="X16" s="63" t="n"/>
      <c r="Y16" s="63" t="n"/>
      <c r="Z16" s="63" t="n"/>
      <c r="AA16" s="63" t="n"/>
      <c r="AB16" s="63" t="n"/>
      <c r="AC16" s="63" t="n"/>
      <c r="AD16" s="63" t="n"/>
      <c r="AE16" s="63" t="n"/>
      <c r="AF16" s="63" t="n"/>
      <c r="AG16" s="63" t="n"/>
      <c r="AH16" s="63" t="n"/>
      <c r="AI16" s="63" t="n"/>
      <c r="AJ16" s="63" t="n"/>
      <c r="AK16" s="63" t="n"/>
      <c r="AL16" s="63" t="n"/>
      <c r="AM16" s="63" t="n"/>
      <c r="AN16" s="63" t="n"/>
      <c r="AO16" s="63" t="n"/>
      <c r="AP16" s="63" t="n"/>
      <c r="AQ16" s="63" t="n"/>
      <c r="AR16" s="63" t="n"/>
      <c r="AS16" s="63" t="n"/>
      <c r="AT16" s="63" t="n"/>
      <c r="AU16" s="63" t="n"/>
      <c r="AV16" s="63" t="n"/>
      <c r="AW16" s="63" t="n"/>
      <c r="AX16" s="63" t="n"/>
      <c r="AY16" s="63" t="n"/>
      <c r="AZ16" s="63" t="n"/>
      <c r="BA16" s="63" t="n"/>
      <c r="BB16" s="63" t="n"/>
      <c r="BC16" s="63" t="n"/>
      <c r="BD16" s="63" t="n"/>
      <c r="BE16" s="63" t="n"/>
      <c r="BF16" s="63" t="n"/>
      <c r="BG16" s="63" t="n"/>
      <c r="BH16" s="63" t="n"/>
      <c r="BI16" s="63" t="n"/>
      <c r="BJ16" s="63" t="n"/>
      <c r="BK16" s="63" t="n"/>
      <c r="BL16" s="63" t="n"/>
      <c r="BM16" s="63" t="n"/>
      <c r="BN16" s="63" t="n"/>
      <c r="BO16" s="63" t="n"/>
      <c r="BP16" s="63" t="n"/>
      <c r="BQ16" s="63" t="n"/>
    </row>
    <row r="17" ht="15" customHeight="1" s="37">
      <c r="A17" s="61">
        <f>'Master Plan'!A17</f>
        <v/>
      </c>
      <c r="B17" s="61">
        <f>'Master Plan'!B17</f>
        <v/>
      </c>
      <c r="C17" s="61">
        <f>'Master Plan'!C17</f>
        <v/>
      </c>
      <c r="D17" s="62">
        <f>'Master Plan'!F17</f>
        <v/>
      </c>
      <c r="E17" s="62">
        <f>'Master Plan'!G17</f>
        <v/>
      </c>
      <c r="F17" s="61">
        <f>'Master Plan'!M17</f>
        <v/>
      </c>
      <c r="G17" s="63" t="n"/>
      <c r="H17" s="63" t="n"/>
      <c r="I17" s="63" t="n"/>
      <c r="J17" s="63" t="n"/>
      <c r="K17" s="63" t="n"/>
      <c r="L17" s="63" t="n"/>
      <c r="M17" s="63" t="n"/>
      <c r="N17" s="63" t="n"/>
      <c r="O17" s="63" t="n"/>
      <c r="P17" s="63" t="n"/>
      <c r="Q17" s="63" t="n"/>
      <c r="R17" s="63" t="n"/>
      <c r="S17" s="63" t="n"/>
      <c r="T17" s="63" t="n"/>
      <c r="U17" s="63" t="n"/>
      <c r="V17" s="63" t="n"/>
      <c r="W17" s="63" t="n"/>
      <c r="X17" s="63" t="n"/>
      <c r="Y17" s="63" t="n"/>
      <c r="Z17" s="63" t="n"/>
      <c r="AA17" s="63" t="n"/>
      <c r="AB17" s="63" t="n"/>
      <c r="AC17" s="63" t="n"/>
      <c r="AD17" s="63" t="n"/>
      <c r="AE17" s="63" t="n"/>
      <c r="AF17" s="63" t="n"/>
      <c r="AG17" s="63" t="n"/>
      <c r="AH17" s="63" t="n"/>
      <c r="AI17" s="63" t="n"/>
      <c r="AJ17" s="63" t="n"/>
      <c r="AK17" s="63" t="n"/>
      <c r="AL17" s="63" t="n"/>
      <c r="AM17" s="63" t="n"/>
      <c r="AN17" s="63" t="n"/>
      <c r="AO17" s="63" t="n"/>
      <c r="AP17" s="63" t="n"/>
      <c r="AQ17" s="63" t="n"/>
      <c r="AR17" s="63" t="n"/>
      <c r="AS17" s="63" t="n"/>
      <c r="AT17" s="63" t="n"/>
      <c r="AU17" s="63" t="n"/>
      <c r="AV17" s="63" t="n"/>
      <c r="AW17" s="63" t="n"/>
      <c r="AX17" s="63" t="n"/>
      <c r="AY17" s="63" t="n"/>
      <c r="AZ17" s="63" t="n"/>
      <c r="BA17" s="63" t="n"/>
      <c r="BB17" s="63" t="n"/>
      <c r="BC17" s="63" t="n"/>
      <c r="BD17" s="63" t="n"/>
      <c r="BE17" s="63" t="n"/>
      <c r="BF17" s="63" t="n"/>
      <c r="BG17" s="63" t="n"/>
      <c r="BH17" s="63" t="n"/>
      <c r="BI17" s="63" t="n"/>
      <c r="BJ17" s="63" t="n"/>
      <c r="BK17" s="63" t="n"/>
      <c r="BL17" s="63" t="n"/>
      <c r="BM17" s="63" t="n"/>
      <c r="BN17" s="63" t="n"/>
      <c r="BO17" s="63" t="n"/>
      <c r="BP17" s="63" t="n"/>
      <c r="BQ17" s="63" t="n"/>
    </row>
    <row r="18" ht="15" customHeight="1" s="37">
      <c r="A18" s="61">
        <f>'Master Plan'!A18</f>
        <v/>
      </c>
      <c r="B18" s="61">
        <f>'Master Plan'!B18</f>
        <v/>
      </c>
      <c r="C18" s="61">
        <f>'Master Plan'!C18</f>
        <v/>
      </c>
      <c r="D18" s="62">
        <f>'Master Plan'!F18</f>
        <v/>
      </c>
      <c r="E18" s="62">
        <f>'Master Plan'!G18</f>
        <v/>
      </c>
      <c r="F18" s="61">
        <f>'Master Plan'!M18</f>
        <v/>
      </c>
      <c r="G18" s="63" t="n"/>
      <c r="H18" s="63" t="n"/>
      <c r="I18" s="63" t="n"/>
      <c r="J18" s="63" t="n"/>
      <c r="K18" s="63" t="n"/>
      <c r="L18" s="63" t="n"/>
      <c r="M18" s="63" t="n"/>
      <c r="N18" s="63" t="n"/>
      <c r="O18" s="63" t="n"/>
      <c r="P18" s="63" t="n"/>
      <c r="Q18" s="63" t="n"/>
      <c r="R18" s="63" t="n"/>
      <c r="S18" s="63" t="n"/>
      <c r="T18" s="63" t="n"/>
      <c r="U18" s="63" t="n"/>
      <c r="V18" s="63" t="n"/>
      <c r="W18" s="63" t="n"/>
      <c r="X18" s="63" t="n"/>
      <c r="Y18" s="63" t="n"/>
      <c r="Z18" s="63" t="n"/>
      <c r="AA18" s="63" t="n"/>
      <c r="AB18" s="63" t="n"/>
      <c r="AC18" s="63" t="n"/>
      <c r="AD18" s="63" t="n"/>
      <c r="AE18" s="63" t="n"/>
      <c r="AF18" s="63" t="n"/>
      <c r="AG18" s="63" t="n"/>
      <c r="AH18" s="63" t="n"/>
      <c r="AI18" s="63" t="n"/>
      <c r="AJ18" s="63" t="n"/>
      <c r="AK18" s="63" t="n"/>
      <c r="AL18" s="63" t="n"/>
      <c r="AM18" s="63" t="n"/>
      <c r="AN18" s="63" t="n"/>
      <c r="AO18" s="63" t="n"/>
      <c r="AP18" s="63" t="n"/>
      <c r="AQ18" s="63" t="n"/>
      <c r="AR18" s="63" t="n"/>
      <c r="AS18" s="63" t="n"/>
      <c r="AT18" s="63" t="n"/>
      <c r="AU18" s="63" t="n"/>
      <c r="AV18" s="63" t="n"/>
      <c r="AW18" s="63" t="n"/>
      <c r="AX18" s="63" t="n"/>
      <c r="AY18" s="63" t="n"/>
      <c r="AZ18" s="63" t="n"/>
      <c r="BA18" s="63" t="n"/>
      <c r="BB18" s="63" t="n"/>
      <c r="BC18" s="63" t="n"/>
      <c r="BD18" s="63" t="n"/>
      <c r="BE18" s="63" t="n"/>
      <c r="BF18" s="63" t="n"/>
      <c r="BG18" s="63" t="n"/>
      <c r="BH18" s="63" t="n"/>
      <c r="BI18" s="63" t="n"/>
      <c r="BJ18" s="63" t="n"/>
      <c r="BK18" s="63" t="n"/>
      <c r="BL18" s="63" t="n"/>
      <c r="BM18" s="63" t="n"/>
      <c r="BN18" s="63" t="n"/>
      <c r="BO18" s="63" t="n"/>
      <c r="BP18" s="63" t="n"/>
      <c r="BQ18" s="63" t="n"/>
    </row>
    <row r="19" ht="15" customHeight="1" s="37">
      <c r="A19" s="61">
        <f>'Master Plan'!A19</f>
        <v/>
      </c>
      <c r="B19" s="61">
        <f>'Master Plan'!B19</f>
        <v/>
      </c>
      <c r="C19" s="61">
        <f>'Master Plan'!C19</f>
        <v/>
      </c>
      <c r="D19" s="62">
        <f>'Master Plan'!F19</f>
        <v/>
      </c>
      <c r="E19" s="62">
        <f>'Master Plan'!G19</f>
        <v/>
      </c>
      <c r="F19" s="61">
        <f>'Master Plan'!M19</f>
        <v/>
      </c>
      <c r="G19" s="63" t="n"/>
      <c r="H19" s="63" t="n"/>
      <c r="I19" s="63" t="n"/>
      <c r="J19" s="63" t="n"/>
      <c r="K19" s="63" t="n"/>
      <c r="L19" s="63" t="n"/>
      <c r="M19" s="63" t="n"/>
      <c r="N19" s="63" t="n"/>
      <c r="O19" s="63" t="n"/>
      <c r="P19" s="63" t="n"/>
      <c r="Q19" s="63" t="n"/>
      <c r="R19" s="63" t="n"/>
      <c r="S19" s="63" t="n"/>
      <c r="T19" s="63" t="n"/>
      <c r="U19" s="63" t="n"/>
      <c r="V19" s="63" t="n"/>
      <c r="W19" s="63" t="n"/>
      <c r="X19" s="63" t="n"/>
      <c r="Y19" s="63" t="n"/>
      <c r="Z19" s="63" t="n"/>
      <c r="AA19" s="63" t="n"/>
      <c r="AB19" s="63" t="n"/>
      <c r="AC19" s="63" t="n"/>
      <c r="AD19" s="63" t="n"/>
      <c r="AE19" s="63" t="n"/>
      <c r="AF19" s="63" t="n"/>
      <c r="AG19" s="63" t="n"/>
      <c r="AH19" s="63" t="n"/>
      <c r="AI19" s="63" t="n"/>
      <c r="AJ19" s="63" t="n"/>
      <c r="AK19" s="63" t="n"/>
      <c r="AL19" s="63" t="n"/>
      <c r="AM19" s="63" t="n"/>
      <c r="AN19" s="63" t="n"/>
      <c r="AO19" s="63" t="n"/>
      <c r="AP19" s="63" t="n"/>
      <c r="AQ19" s="63" t="n"/>
      <c r="AR19" s="63" t="n"/>
      <c r="AS19" s="63" t="n"/>
      <c r="AT19" s="63" t="n"/>
      <c r="AU19" s="63" t="n"/>
      <c r="AV19" s="63" t="n"/>
      <c r="AW19" s="63" t="n"/>
      <c r="AX19" s="63" t="n"/>
      <c r="AY19" s="63" t="n"/>
      <c r="AZ19" s="63" t="n"/>
      <c r="BA19" s="63" t="n"/>
      <c r="BB19" s="63" t="n"/>
      <c r="BC19" s="63" t="n"/>
      <c r="BD19" s="63" t="n"/>
      <c r="BE19" s="63" t="n"/>
      <c r="BF19" s="63" t="n"/>
      <c r="BG19" s="63" t="n"/>
      <c r="BH19" s="63" t="n"/>
      <c r="BI19" s="63" t="n"/>
      <c r="BJ19" s="63" t="n"/>
      <c r="BK19" s="63" t="n"/>
      <c r="BL19" s="63" t="n"/>
      <c r="BM19" s="63" t="n"/>
      <c r="BN19" s="63" t="n"/>
      <c r="BO19" s="63" t="n"/>
      <c r="BP19" s="63" t="n"/>
      <c r="BQ19" s="63" t="n"/>
    </row>
    <row r="20" ht="15" customHeight="1" s="37">
      <c r="A20" s="61">
        <f>'Master Plan'!A20</f>
        <v/>
      </c>
      <c r="B20" s="61">
        <f>'Master Plan'!B20</f>
        <v/>
      </c>
      <c r="C20" s="61">
        <f>'Master Plan'!C20</f>
        <v/>
      </c>
      <c r="D20" s="62">
        <f>'Master Plan'!F20</f>
        <v/>
      </c>
      <c r="E20" s="62">
        <f>'Master Plan'!G20</f>
        <v/>
      </c>
      <c r="F20" s="61">
        <f>'Master Plan'!M20</f>
        <v/>
      </c>
      <c r="G20" s="63" t="n"/>
      <c r="H20" s="63" t="n"/>
      <c r="I20" s="63" t="n"/>
      <c r="J20" s="63" t="n"/>
      <c r="K20" s="63" t="n"/>
      <c r="L20" s="63" t="n"/>
      <c r="M20" s="63" t="n"/>
      <c r="N20" s="63" t="n"/>
      <c r="O20" s="63" t="n"/>
      <c r="P20" s="63" t="n"/>
      <c r="Q20" s="63" t="n"/>
      <c r="R20" s="63" t="n"/>
      <c r="S20" s="63" t="n"/>
      <c r="T20" s="63" t="n"/>
      <c r="U20" s="63" t="n"/>
      <c r="V20" s="63" t="n"/>
      <c r="W20" s="63" t="n"/>
      <c r="X20" s="63" t="n"/>
      <c r="Y20" s="63" t="n"/>
      <c r="Z20" s="63" t="n"/>
      <c r="AA20" s="63" t="n"/>
      <c r="AB20" s="63" t="n"/>
      <c r="AC20" s="63" t="n"/>
      <c r="AD20" s="63" t="n"/>
      <c r="AE20" s="63" t="n"/>
      <c r="AF20" s="63" t="n"/>
      <c r="AG20" s="63" t="n"/>
      <c r="AH20" s="63" t="n"/>
      <c r="AI20" s="63" t="n"/>
      <c r="AJ20" s="63" t="n"/>
      <c r="AK20" s="63" t="n"/>
      <c r="AL20" s="63" t="n"/>
      <c r="AM20" s="63" t="n"/>
      <c r="AN20" s="63" t="n"/>
      <c r="AO20" s="63" t="n"/>
      <c r="AP20" s="63" t="n"/>
      <c r="AQ20" s="63" t="n"/>
      <c r="AR20" s="63" t="n"/>
      <c r="AS20" s="63" t="n"/>
      <c r="AT20" s="63" t="n"/>
      <c r="AU20" s="63" t="n"/>
      <c r="AV20" s="63" t="n"/>
      <c r="AW20" s="63" t="n"/>
      <c r="AX20" s="63" t="n"/>
      <c r="AY20" s="63" t="n"/>
      <c r="AZ20" s="63" t="n"/>
      <c r="BA20" s="63" t="n"/>
      <c r="BB20" s="63" t="n"/>
      <c r="BC20" s="63" t="n"/>
      <c r="BD20" s="63" t="n"/>
      <c r="BE20" s="63" t="n"/>
      <c r="BF20" s="63" t="n"/>
      <c r="BG20" s="63" t="n"/>
      <c r="BH20" s="63" t="n"/>
      <c r="BI20" s="63" t="n"/>
      <c r="BJ20" s="63" t="n"/>
      <c r="BK20" s="63" t="n"/>
      <c r="BL20" s="63" t="n"/>
      <c r="BM20" s="63" t="n"/>
      <c r="BN20" s="63" t="n"/>
      <c r="BO20" s="63" t="n"/>
      <c r="BP20" s="63" t="n"/>
      <c r="BQ20" s="63" t="n"/>
    </row>
    <row r="21" ht="15" customHeight="1" s="37">
      <c r="A21" s="61">
        <f>'Master Plan'!A21</f>
        <v/>
      </c>
      <c r="B21" s="61">
        <f>'Master Plan'!B21</f>
        <v/>
      </c>
      <c r="C21" s="61">
        <f>'Master Plan'!C21</f>
        <v/>
      </c>
      <c r="D21" s="62">
        <f>'Master Plan'!F21</f>
        <v/>
      </c>
      <c r="E21" s="62">
        <f>'Master Plan'!G21</f>
        <v/>
      </c>
      <c r="F21" s="61">
        <f>'Master Plan'!M21</f>
        <v/>
      </c>
      <c r="G21" s="63" t="n"/>
      <c r="H21" s="63" t="n"/>
      <c r="I21" s="63" t="n"/>
      <c r="J21" s="63" t="n"/>
      <c r="K21" s="63" t="n"/>
      <c r="L21" s="63" t="n"/>
      <c r="M21" s="63" t="n"/>
      <c r="N21" s="63" t="n"/>
      <c r="O21" s="63" t="n"/>
      <c r="P21" s="63" t="n"/>
      <c r="Q21" s="63" t="n"/>
      <c r="R21" s="63" t="n"/>
      <c r="S21" s="63" t="n"/>
      <c r="T21" s="63" t="n"/>
      <c r="U21" s="63" t="n"/>
      <c r="V21" s="63" t="n"/>
      <c r="W21" s="63" t="n"/>
      <c r="X21" s="63" t="n"/>
      <c r="Y21" s="63" t="n"/>
      <c r="Z21" s="63" t="n"/>
      <c r="AA21" s="63" t="n"/>
      <c r="AB21" s="63" t="n"/>
      <c r="AC21" s="63" t="n"/>
      <c r="AD21" s="63" t="n"/>
      <c r="AE21" s="63" t="n"/>
      <c r="AF21" s="63" t="n"/>
      <c r="AG21" s="63" t="n"/>
      <c r="AH21" s="63" t="n"/>
      <c r="AI21" s="63" t="n"/>
      <c r="AJ21" s="63" t="n"/>
      <c r="AK21" s="63" t="n"/>
      <c r="AL21" s="63" t="n"/>
      <c r="AM21" s="63" t="n"/>
      <c r="AN21" s="63" t="n"/>
      <c r="AO21" s="63" t="n"/>
      <c r="AP21" s="63" t="n"/>
      <c r="AQ21" s="63" t="n"/>
      <c r="AR21" s="63" t="n"/>
      <c r="AS21" s="63" t="n"/>
      <c r="AT21" s="63" t="n"/>
      <c r="AU21" s="63" t="n"/>
      <c r="AV21" s="63" t="n"/>
      <c r="AW21" s="63" t="n"/>
      <c r="AX21" s="63" t="n"/>
      <c r="AY21" s="63" t="n"/>
      <c r="AZ21" s="63" t="n"/>
      <c r="BA21" s="63" t="n"/>
      <c r="BB21" s="63" t="n"/>
      <c r="BC21" s="63" t="n"/>
      <c r="BD21" s="63" t="n"/>
      <c r="BE21" s="63" t="n"/>
      <c r="BF21" s="63" t="n"/>
      <c r="BG21" s="63" t="n"/>
      <c r="BH21" s="63" t="n"/>
      <c r="BI21" s="63" t="n"/>
      <c r="BJ21" s="63" t="n"/>
      <c r="BK21" s="63" t="n"/>
      <c r="BL21" s="63" t="n"/>
      <c r="BM21" s="63" t="n"/>
      <c r="BN21" s="63" t="n"/>
      <c r="BO21" s="63" t="n"/>
      <c r="BP21" s="63" t="n"/>
      <c r="BQ21" s="63" t="n"/>
    </row>
    <row r="22" ht="15" customHeight="1" s="37">
      <c r="A22" s="61">
        <f>'Master Plan'!A22</f>
        <v/>
      </c>
      <c r="B22" s="61">
        <f>'Master Plan'!B22</f>
        <v/>
      </c>
      <c r="C22" s="61">
        <f>'Master Plan'!C22</f>
        <v/>
      </c>
      <c r="D22" s="62">
        <f>'Master Plan'!F22</f>
        <v/>
      </c>
      <c r="E22" s="62">
        <f>'Master Plan'!G22</f>
        <v/>
      </c>
      <c r="F22" s="61">
        <f>'Master Plan'!M22</f>
        <v/>
      </c>
      <c r="G22" s="63" t="n"/>
      <c r="H22" s="63" t="n"/>
      <c r="I22" s="63" t="n"/>
      <c r="J22" s="63" t="n"/>
      <c r="K22" s="63" t="n"/>
      <c r="L22" s="63" t="n"/>
      <c r="M22" s="63" t="n"/>
      <c r="N22" s="63" t="n"/>
      <c r="O22" s="63" t="n"/>
      <c r="P22" s="63" t="n"/>
      <c r="Q22" s="63" t="n"/>
      <c r="R22" s="63" t="n"/>
      <c r="S22" s="63" t="n"/>
      <c r="T22" s="63" t="n"/>
      <c r="U22" s="63" t="n"/>
      <c r="V22" s="63" t="n"/>
      <c r="W22" s="63" t="n"/>
      <c r="X22" s="63" t="n"/>
      <c r="Y22" s="63" t="n"/>
      <c r="Z22" s="63" t="n"/>
      <c r="AA22" s="63" t="n"/>
      <c r="AB22" s="63" t="n"/>
      <c r="AC22" s="63" t="n"/>
      <c r="AD22" s="63" t="n"/>
      <c r="AE22" s="63" t="n"/>
      <c r="AF22" s="63" t="n"/>
      <c r="AG22" s="63" t="n"/>
      <c r="AH22" s="63" t="n"/>
      <c r="AI22" s="63" t="n"/>
      <c r="AJ22" s="63" t="n"/>
      <c r="AK22" s="63" t="n"/>
      <c r="AL22" s="63" t="n"/>
      <c r="AM22" s="63" t="n"/>
      <c r="AN22" s="63" t="n"/>
      <c r="AO22" s="63" t="n"/>
      <c r="AP22" s="63" t="n"/>
      <c r="AQ22" s="63" t="n"/>
      <c r="AR22" s="63" t="n"/>
      <c r="AS22" s="63" t="n"/>
      <c r="AT22" s="63" t="n"/>
      <c r="AU22" s="63" t="n"/>
      <c r="AV22" s="63" t="n"/>
      <c r="AW22" s="63" t="n"/>
      <c r="AX22" s="63" t="n"/>
      <c r="AY22" s="63" t="n"/>
      <c r="AZ22" s="63" t="n"/>
      <c r="BA22" s="63" t="n"/>
      <c r="BB22" s="63" t="n"/>
      <c r="BC22" s="63" t="n"/>
      <c r="BD22" s="63" t="n"/>
      <c r="BE22" s="63" t="n"/>
      <c r="BF22" s="63" t="n"/>
      <c r="BG22" s="63" t="n"/>
      <c r="BH22" s="63" t="n"/>
      <c r="BI22" s="63" t="n"/>
      <c r="BJ22" s="63" t="n"/>
      <c r="BK22" s="63" t="n"/>
      <c r="BL22" s="63" t="n"/>
      <c r="BM22" s="63" t="n"/>
      <c r="BN22" s="63" t="n"/>
      <c r="BO22" s="63" t="n"/>
      <c r="BP22" s="63" t="n"/>
      <c r="BQ22" s="63" t="n"/>
    </row>
    <row r="23" ht="15" customHeight="1" s="37">
      <c r="A23" s="61">
        <f>'Master Plan'!A23</f>
        <v/>
      </c>
      <c r="B23" s="61">
        <f>'Master Plan'!B23</f>
        <v/>
      </c>
      <c r="C23" s="61">
        <f>'Master Plan'!C23</f>
        <v/>
      </c>
      <c r="D23" s="62">
        <f>'Master Plan'!F23</f>
        <v/>
      </c>
      <c r="E23" s="62">
        <f>'Master Plan'!G23</f>
        <v/>
      </c>
      <c r="F23" s="61">
        <f>'Master Plan'!M23</f>
        <v/>
      </c>
      <c r="G23" s="63" t="n"/>
      <c r="H23" s="63" t="n"/>
      <c r="I23" s="63" t="n"/>
      <c r="J23" s="63" t="n"/>
      <c r="K23" s="63" t="n"/>
      <c r="L23" s="63" t="n"/>
      <c r="M23" s="63" t="n"/>
      <c r="N23" s="63" t="n"/>
      <c r="O23" s="63" t="n"/>
      <c r="P23" s="63" t="n"/>
      <c r="Q23" s="63" t="n"/>
      <c r="R23" s="63" t="n"/>
      <c r="S23" s="63" t="n"/>
      <c r="T23" s="63" t="n"/>
      <c r="U23" s="63" t="n"/>
      <c r="V23" s="63" t="n"/>
      <c r="W23" s="63" t="n"/>
      <c r="X23" s="63" t="n"/>
      <c r="Y23" s="63" t="n"/>
      <c r="Z23" s="63" t="n"/>
      <c r="AA23" s="63" t="n"/>
      <c r="AB23" s="63" t="n"/>
      <c r="AC23" s="63" t="n"/>
      <c r="AD23" s="63" t="n"/>
      <c r="AE23" s="63" t="n"/>
      <c r="AF23" s="63" t="n"/>
      <c r="AG23" s="63" t="n"/>
      <c r="AH23" s="63" t="n"/>
      <c r="AI23" s="63" t="n"/>
      <c r="AJ23" s="63" t="n"/>
      <c r="AK23" s="63" t="n"/>
      <c r="AL23" s="63" t="n"/>
      <c r="AM23" s="63" t="n"/>
      <c r="AN23" s="63" t="n"/>
      <c r="AO23" s="63" t="n"/>
      <c r="AP23" s="63" t="n"/>
      <c r="AQ23" s="63" t="n"/>
      <c r="AR23" s="63" t="n"/>
      <c r="AS23" s="63" t="n"/>
      <c r="AT23" s="63" t="n"/>
      <c r="AU23" s="63" t="n"/>
      <c r="AV23" s="63" t="n"/>
      <c r="AW23" s="63" t="n"/>
      <c r="AX23" s="63" t="n"/>
      <c r="AY23" s="63" t="n"/>
      <c r="AZ23" s="63" t="n"/>
      <c r="BA23" s="63" t="n"/>
      <c r="BB23" s="63" t="n"/>
      <c r="BC23" s="63" t="n"/>
      <c r="BD23" s="63" t="n"/>
      <c r="BE23" s="63" t="n"/>
      <c r="BF23" s="63" t="n"/>
      <c r="BG23" s="63" t="n"/>
      <c r="BH23" s="63" t="n"/>
      <c r="BI23" s="63" t="n"/>
      <c r="BJ23" s="63" t="n"/>
      <c r="BK23" s="63" t="n"/>
      <c r="BL23" s="63" t="n"/>
      <c r="BM23" s="63" t="n"/>
      <c r="BN23" s="63" t="n"/>
      <c r="BO23" s="63" t="n"/>
      <c r="BP23" s="63" t="n"/>
      <c r="BQ23" s="63" t="n"/>
    </row>
    <row r="24" ht="15" customHeight="1" s="37">
      <c r="A24" s="61">
        <f>'Master Plan'!A24</f>
        <v/>
      </c>
      <c r="B24" s="61">
        <f>'Master Plan'!B24</f>
        <v/>
      </c>
      <c r="C24" s="61">
        <f>'Master Plan'!C24</f>
        <v/>
      </c>
      <c r="D24" s="62">
        <f>'Master Plan'!F24</f>
        <v/>
      </c>
      <c r="E24" s="62">
        <f>'Master Plan'!G24</f>
        <v/>
      </c>
      <c r="F24" s="61">
        <f>'Master Plan'!M24</f>
        <v/>
      </c>
      <c r="G24" s="63" t="n"/>
      <c r="H24" s="63" t="n"/>
      <c r="I24" s="63" t="n"/>
      <c r="J24" s="63" t="n"/>
      <c r="K24" s="63" t="n"/>
      <c r="L24" s="63" t="n"/>
      <c r="M24" s="63" t="n"/>
      <c r="N24" s="63" t="n"/>
      <c r="O24" s="63" t="n"/>
      <c r="P24" s="63" t="n"/>
      <c r="Q24" s="63" t="n"/>
      <c r="R24" s="63" t="n"/>
      <c r="S24" s="63" t="n"/>
      <c r="T24" s="63" t="n"/>
      <c r="U24" s="63" t="n"/>
      <c r="V24" s="63" t="n"/>
      <c r="W24" s="63" t="n"/>
      <c r="X24" s="63" t="n"/>
      <c r="Y24" s="63" t="n"/>
      <c r="Z24" s="63" t="n"/>
      <c r="AA24" s="63" t="n"/>
      <c r="AB24" s="63" t="n"/>
      <c r="AC24" s="63" t="n"/>
      <c r="AD24" s="63" t="n"/>
      <c r="AE24" s="63" t="n"/>
      <c r="AF24" s="63" t="n"/>
      <c r="AG24" s="63" t="n"/>
      <c r="AH24" s="63" t="n"/>
      <c r="AI24" s="63" t="n"/>
      <c r="AJ24" s="63" t="n"/>
      <c r="AK24" s="63" t="n"/>
      <c r="AL24" s="63" t="n"/>
      <c r="AM24" s="63" t="n"/>
      <c r="AN24" s="63" t="n"/>
      <c r="AO24" s="63" t="n"/>
      <c r="AP24" s="63" t="n"/>
      <c r="AQ24" s="63" t="n"/>
      <c r="AR24" s="63" t="n"/>
      <c r="AS24" s="63" t="n"/>
      <c r="AT24" s="63" t="n"/>
      <c r="AU24" s="63" t="n"/>
      <c r="AV24" s="63" t="n"/>
      <c r="AW24" s="63" t="n"/>
      <c r="AX24" s="63" t="n"/>
      <c r="AY24" s="63" t="n"/>
      <c r="AZ24" s="63" t="n"/>
      <c r="BA24" s="63" t="n"/>
      <c r="BB24" s="63" t="n"/>
      <c r="BC24" s="63" t="n"/>
      <c r="BD24" s="63" t="n"/>
      <c r="BE24" s="63" t="n"/>
      <c r="BF24" s="63" t="n"/>
      <c r="BG24" s="63" t="n"/>
      <c r="BH24" s="63" t="n"/>
      <c r="BI24" s="63" t="n"/>
      <c r="BJ24" s="63" t="n"/>
      <c r="BK24" s="63" t="n"/>
      <c r="BL24" s="63" t="n"/>
      <c r="BM24" s="63" t="n"/>
      <c r="BN24" s="63" t="n"/>
      <c r="BO24" s="63" t="n"/>
      <c r="BP24" s="63" t="n"/>
      <c r="BQ24" s="63" t="n"/>
    </row>
    <row r="25" ht="15" customHeight="1" s="37">
      <c r="A25" s="61">
        <f>'Master Plan'!A25</f>
        <v/>
      </c>
      <c r="B25" s="61">
        <f>'Master Plan'!B25</f>
        <v/>
      </c>
      <c r="C25" s="61">
        <f>'Master Plan'!C25</f>
        <v/>
      </c>
      <c r="D25" s="62">
        <f>'Master Plan'!F25</f>
        <v/>
      </c>
      <c r="E25" s="62">
        <f>'Master Plan'!G25</f>
        <v/>
      </c>
      <c r="F25" s="61">
        <f>'Master Plan'!M25</f>
        <v/>
      </c>
      <c r="G25" s="63" t="n"/>
      <c r="H25" s="63" t="n"/>
      <c r="I25" s="63" t="n"/>
      <c r="J25" s="63" t="n"/>
      <c r="K25" s="63" t="n"/>
      <c r="L25" s="63" t="n"/>
      <c r="M25" s="63" t="n"/>
      <c r="N25" s="63" t="n"/>
      <c r="O25" s="63" t="n"/>
      <c r="P25" s="63" t="n"/>
      <c r="Q25" s="63" t="n"/>
      <c r="R25" s="63" t="n"/>
      <c r="S25" s="63" t="n"/>
      <c r="T25" s="63" t="n"/>
      <c r="U25" s="63" t="n"/>
      <c r="V25" s="63" t="n"/>
      <c r="W25" s="63" t="n"/>
      <c r="X25" s="63" t="n"/>
      <c r="Y25" s="63" t="n"/>
      <c r="Z25" s="63" t="n"/>
      <c r="AA25" s="63" t="n"/>
      <c r="AB25" s="63" t="n"/>
      <c r="AC25" s="63" t="n"/>
      <c r="AD25" s="63" t="n"/>
      <c r="AE25" s="63" t="n"/>
      <c r="AF25" s="63" t="n"/>
      <c r="AG25" s="63" t="n"/>
      <c r="AH25" s="63" t="n"/>
      <c r="AI25" s="63" t="n"/>
      <c r="AJ25" s="63" t="n"/>
      <c r="AK25" s="63" t="n"/>
      <c r="AL25" s="63" t="n"/>
      <c r="AM25" s="63" t="n"/>
      <c r="AN25" s="63" t="n"/>
      <c r="AO25" s="63" t="n"/>
      <c r="AP25" s="63" t="n"/>
      <c r="AQ25" s="63" t="n"/>
      <c r="AR25" s="63" t="n"/>
      <c r="AS25" s="63" t="n"/>
      <c r="AT25" s="63" t="n"/>
      <c r="AU25" s="63" t="n"/>
      <c r="AV25" s="63" t="n"/>
      <c r="AW25" s="63" t="n"/>
      <c r="AX25" s="63" t="n"/>
      <c r="AY25" s="63" t="n"/>
      <c r="AZ25" s="63" t="n"/>
      <c r="BA25" s="63" t="n"/>
      <c r="BB25" s="63" t="n"/>
      <c r="BC25" s="63" t="n"/>
      <c r="BD25" s="63" t="n"/>
      <c r="BE25" s="63" t="n"/>
      <c r="BF25" s="63" t="n"/>
      <c r="BG25" s="63" t="n"/>
      <c r="BH25" s="63" t="n"/>
      <c r="BI25" s="63" t="n"/>
      <c r="BJ25" s="63" t="n"/>
      <c r="BK25" s="63" t="n"/>
      <c r="BL25" s="63" t="n"/>
      <c r="BM25" s="63" t="n"/>
      <c r="BN25" s="63" t="n"/>
      <c r="BO25" s="63" t="n"/>
      <c r="BP25" s="63" t="n"/>
      <c r="BQ25" s="63" t="n"/>
    </row>
    <row r="26" ht="15" customHeight="1" s="37">
      <c r="A26" s="61">
        <f>'Master Plan'!A26</f>
        <v/>
      </c>
      <c r="B26" s="61">
        <f>'Master Plan'!B26</f>
        <v/>
      </c>
      <c r="C26" s="61">
        <f>'Master Plan'!C26</f>
        <v/>
      </c>
      <c r="D26" s="62">
        <f>'Master Plan'!F26</f>
        <v/>
      </c>
      <c r="E26" s="62">
        <f>'Master Plan'!G26</f>
        <v/>
      </c>
      <c r="F26" s="61">
        <f>'Master Plan'!M26</f>
        <v/>
      </c>
      <c r="G26" s="63" t="n"/>
      <c r="H26" s="63" t="n"/>
      <c r="I26" s="63" t="n"/>
      <c r="J26" s="63" t="n"/>
      <c r="K26" s="63" t="n"/>
      <c r="L26" s="63" t="n"/>
      <c r="M26" s="63" t="n"/>
      <c r="N26" s="63" t="n"/>
      <c r="O26" s="63" t="n"/>
      <c r="P26" s="63" t="n"/>
      <c r="Q26" s="63" t="n"/>
      <c r="R26" s="63" t="n"/>
      <c r="S26" s="63" t="n"/>
      <c r="T26" s="63" t="n"/>
      <c r="U26" s="63" t="n"/>
      <c r="V26" s="63" t="n"/>
      <c r="W26" s="63" t="n"/>
      <c r="X26" s="63" t="n"/>
      <c r="Y26" s="63" t="n"/>
      <c r="Z26" s="63" t="n"/>
      <c r="AA26" s="63" t="n"/>
      <c r="AB26" s="63" t="n"/>
      <c r="AC26" s="63" t="n"/>
      <c r="AD26" s="63" t="n"/>
      <c r="AE26" s="63" t="n"/>
      <c r="AF26" s="63" t="n"/>
      <c r="AG26" s="63" t="n"/>
      <c r="AH26" s="63" t="n"/>
      <c r="AI26" s="63" t="n"/>
      <c r="AJ26" s="63" t="n"/>
      <c r="AK26" s="63" t="n"/>
      <c r="AL26" s="63" t="n"/>
      <c r="AM26" s="63" t="n"/>
      <c r="AN26" s="63" t="n"/>
      <c r="AO26" s="63" t="n"/>
      <c r="AP26" s="63" t="n"/>
      <c r="AQ26" s="63" t="n"/>
      <c r="AR26" s="63" t="n"/>
      <c r="AS26" s="63" t="n"/>
      <c r="AT26" s="63" t="n"/>
      <c r="AU26" s="63" t="n"/>
      <c r="AV26" s="63" t="n"/>
      <c r="AW26" s="63" t="n"/>
      <c r="AX26" s="63" t="n"/>
      <c r="AY26" s="63" t="n"/>
      <c r="AZ26" s="63" t="n"/>
      <c r="BA26" s="63" t="n"/>
      <c r="BB26" s="63" t="n"/>
      <c r="BC26" s="63" t="n"/>
      <c r="BD26" s="63" t="n"/>
      <c r="BE26" s="63" t="n"/>
      <c r="BF26" s="63" t="n"/>
      <c r="BG26" s="63" t="n"/>
      <c r="BH26" s="63" t="n"/>
      <c r="BI26" s="63" t="n"/>
      <c r="BJ26" s="63" t="n"/>
      <c r="BK26" s="63" t="n"/>
      <c r="BL26" s="63" t="n"/>
      <c r="BM26" s="63" t="n"/>
      <c r="BN26" s="63" t="n"/>
      <c r="BO26" s="63" t="n"/>
      <c r="BP26" s="63" t="n"/>
      <c r="BQ26" s="63" t="n"/>
    </row>
    <row r="27" ht="15" customHeight="1" s="37">
      <c r="A27" s="61">
        <f>'Master Plan'!A27</f>
        <v/>
      </c>
      <c r="B27" s="61">
        <f>'Master Plan'!B27</f>
        <v/>
      </c>
      <c r="C27" s="61">
        <f>'Master Plan'!C27</f>
        <v/>
      </c>
      <c r="D27" s="62">
        <f>'Master Plan'!F27</f>
        <v/>
      </c>
      <c r="E27" s="62">
        <f>'Master Plan'!G27</f>
        <v/>
      </c>
      <c r="F27" s="61">
        <f>'Master Plan'!M27</f>
        <v/>
      </c>
      <c r="G27" s="63" t="n"/>
      <c r="H27" s="63" t="n"/>
      <c r="I27" s="63" t="n"/>
      <c r="J27" s="63" t="n"/>
      <c r="K27" s="63" t="n"/>
      <c r="L27" s="63" t="n"/>
      <c r="M27" s="63" t="n"/>
      <c r="N27" s="63" t="n"/>
      <c r="O27" s="63" t="n"/>
      <c r="P27" s="63" t="n"/>
      <c r="Q27" s="63" t="n"/>
      <c r="R27" s="63" t="n"/>
      <c r="S27" s="63" t="n"/>
      <c r="T27" s="63" t="n"/>
      <c r="U27" s="63" t="n"/>
      <c r="V27" s="63" t="n"/>
      <c r="W27" s="63" t="n"/>
      <c r="X27" s="63" t="n"/>
      <c r="Y27" s="63" t="n"/>
      <c r="Z27" s="63" t="n"/>
      <c r="AA27" s="63" t="n"/>
      <c r="AB27" s="63" t="n"/>
      <c r="AC27" s="63" t="n"/>
      <c r="AD27" s="63" t="n"/>
      <c r="AE27" s="63" t="n"/>
      <c r="AF27" s="63" t="n"/>
      <c r="AG27" s="63" t="n"/>
      <c r="AH27" s="63" t="n"/>
      <c r="AI27" s="63" t="n"/>
      <c r="AJ27" s="63" t="n"/>
      <c r="AK27" s="63" t="n"/>
      <c r="AL27" s="63" t="n"/>
      <c r="AM27" s="63" t="n"/>
      <c r="AN27" s="63" t="n"/>
      <c r="AO27" s="63" t="n"/>
      <c r="AP27" s="63" t="n"/>
      <c r="AQ27" s="63" t="n"/>
      <c r="AR27" s="63" t="n"/>
      <c r="AS27" s="63" t="n"/>
      <c r="AT27" s="63" t="n"/>
      <c r="AU27" s="63" t="n"/>
      <c r="AV27" s="63" t="n"/>
      <c r="AW27" s="63" t="n"/>
      <c r="AX27" s="63" t="n"/>
      <c r="AY27" s="63" t="n"/>
      <c r="AZ27" s="63" t="n"/>
      <c r="BA27" s="63" t="n"/>
      <c r="BB27" s="63" t="n"/>
      <c r="BC27" s="63" t="n"/>
      <c r="BD27" s="63" t="n"/>
      <c r="BE27" s="63" t="n"/>
      <c r="BF27" s="63" t="n"/>
      <c r="BG27" s="63" t="n"/>
      <c r="BH27" s="63" t="n"/>
      <c r="BI27" s="63" t="n"/>
      <c r="BJ27" s="63" t="n"/>
      <c r="BK27" s="63" t="n"/>
      <c r="BL27" s="63" t="n"/>
      <c r="BM27" s="63" t="n"/>
      <c r="BN27" s="63" t="n"/>
      <c r="BO27" s="63" t="n"/>
      <c r="BP27" s="63" t="n"/>
      <c r="BQ27" s="63" t="n"/>
    </row>
    <row r="28" ht="15" customHeight="1" s="37">
      <c r="A28" s="61">
        <f>'Master Plan'!A28</f>
        <v/>
      </c>
      <c r="B28" s="61">
        <f>'Master Plan'!B28</f>
        <v/>
      </c>
      <c r="C28" s="61">
        <f>'Master Plan'!C28</f>
        <v/>
      </c>
      <c r="D28" s="62">
        <f>'Master Plan'!F28</f>
        <v/>
      </c>
      <c r="E28" s="62">
        <f>'Master Plan'!G28</f>
        <v/>
      </c>
      <c r="F28" s="61">
        <f>'Master Plan'!M28</f>
        <v/>
      </c>
      <c r="G28" s="63" t="n"/>
      <c r="H28" s="63" t="n"/>
      <c r="I28" s="63" t="n"/>
      <c r="J28" s="63" t="n"/>
      <c r="K28" s="63" t="n"/>
      <c r="L28" s="63" t="n"/>
      <c r="M28" s="63" t="n"/>
      <c r="N28" s="63" t="n"/>
      <c r="O28" s="63" t="n"/>
      <c r="P28" s="63" t="n"/>
      <c r="Q28" s="63" t="n"/>
      <c r="R28" s="63" t="n"/>
      <c r="S28" s="63" t="n"/>
      <c r="T28" s="63" t="n"/>
      <c r="U28" s="63" t="n"/>
      <c r="V28" s="63" t="n"/>
      <c r="W28" s="63" t="n"/>
      <c r="X28" s="63" t="n"/>
      <c r="Y28" s="63" t="n"/>
      <c r="Z28" s="63" t="n"/>
      <c r="AA28" s="63" t="n"/>
      <c r="AB28" s="63" t="n"/>
      <c r="AC28" s="63" t="n"/>
      <c r="AD28" s="63" t="n"/>
      <c r="AE28" s="63" t="n"/>
      <c r="AF28" s="63" t="n"/>
      <c r="AG28" s="63" t="n"/>
      <c r="AH28" s="63" t="n"/>
      <c r="AI28" s="63" t="n"/>
      <c r="AJ28" s="63" t="n"/>
      <c r="AK28" s="63" t="n"/>
      <c r="AL28" s="63" t="n"/>
      <c r="AM28" s="63" t="n"/>
      <c r="AN28" s="63" t="n"/>
      <c r="AO28" s="63" t="n"/>
      <c r="AP28" s="63" t="n"/>
      <c r="AQ28" s="63" t="n"/>
      <c r="AR28" s="63" t="n"/>
      <c r="AS28" s="63" t="n"/>
      <c r="AT28" s="63" t="n"/>
      <c r="AU28" s="63" t="n"/>
      <c r="AV28" s="63" t="n"/>
      <c r="AW28" s="63" t="n"/>
      <c r="AX28" s="63" t="n"/>
      <c r="AY28" s="63" t="n"/>
      <c r="AZ28" s="63" t="n"/>
      <c r="BA28" s="63" t="n"/>
      <c r="BB28" s="63" t="n"/>
      <c r="BC28" s="63" t="n"/>
      <c r="BD28" s="63" t="n"/>
      <c r="BE28" s="63" t="n"/>
      <c r="BF28" s="63" t="n"/>
      <c r="BG28" s="63" t="n"/>
      <c r="BH28" s="63" t="n"/>
      <c r="BI28" s="63" t="n"/>
      <c r="BJ28" s="63" t="n"/>
      <c r="BK28" s="63" t="n"/>
      <c r="BL28" s="63" t="n"/>
      <c r="BM28" s="63" t="n"/>
      <c r="BN28" s="63" t="n"/>
      <c r="BO28" s="63" t="n"/>
      <c r="BP28" s="63" t="n"/>
      <c r="BQ28" s="63" t="n"/>
    </row>
    <row r="29" ht="15" customHeight="1" s="37">
      <c r="A29" s="61">
        <f>'Master Plan'!A29</f>
        <v/>
      </c>
      <c r="B29" s="61">
        <f>'Master Plan'!B29</f>
        <v/>
      </c>
      <c r="C29" s="61">
        <f>'Master Plan'!C29</f>
        <v/>
      </c>
      <c r="D29" s="62">
        <f>'Master Plan'!F29</f>
        <v/>
      </c>
      <c r="E29" s="62">
        <f>'Master Plan'!G29</f>
        <v/>
      </c>
      <c r="F29" s="61">
        <f>'Master Plan'!M29</f>
        <v/>
      </c>
      <c r="G29" s="63" t="n"/>
      <c r="H29" s="63" t="n"/>
      <c r="I29" s="63" t="n"/>
      <c r="J29" s="63" t="n"/>
      <c r="K29" s="63" t="n"/>
      <c r="L29" s="63" t="n"/>
      <c r="M29" s="63" t="n"/>
      <c r="N29" s="63" t="n"/>
      <c r="O29" s="63" t="n"/>
      <c r="P29" s="63" t="n"/>
      <c r="Q29" s="63" t="n"/>
      <c r="R29" s="63" t="n"/>
      <c r="S29" s="63" t="n"/>
      <c r="T29" s="63" t="n"/>
      <c r="U29" s="63" t="n"/>
      <c r="V29" s="63" t="n"/>
      <c r="W29" s="63" t="n"/>
      <c r="X29" s="63" t="n"/>
      <c r="Y29" s="63" t="n"/>
      <c r="Z29" s="63" t="n"/>
      <c r="AA29" s="63" t="n"/>
      <c r="AB29" s="63" t="n"/>
      <c r="AC29" s="63" t="n"/>
      <c r="AD29" s="63" t="n"/>
      <c r="AE29" s="63" t="n"/>
      <c r="AF29" s="63" t="n"/>
      <c r="AG29" s="63" t="n"/>
      <c r="AH29" s="63" t="n"/>
      <c r="AI29" s="63" t="n"/>
      <c r="AJ29" s="63" t="n"/>
      <c r="AK29" s="63" t="n"/>
      <c r="AL29" s="63" t="n"/>
      <c r="AM29" s="63" t="n"/>
      <c r="AN29" s="63" t="n"/>
      <c r="AO29" s="63" t="n"/>
      <c r="AP29" s="63" t="n"/>
      <c r="AQ29" s="63" t="n"/>
      <c r="AR29" s="63" t="n"/>
      <c r="AS29" s="63" t="n"/>
      <c r="AT29" s="63" t="n"/>
      <c r="AU29" s="63" t="n"/>
      <c r="AV29" s="63" t="n"/>
      <c r="AW29" s="63" t="n"/>
      <c r="AX29" s="63" t="n"/>
      <c r="AY29" s="63" t="n"/>
      <c r="AZ29" s="63" t="n"/>
      <c r="BA29" s="63" t="n"/>
      <c r="BB29" s="63" t="n"/>
      <c r="BC29" s="63" t="n"/>
      <c r="BD29" s="63" t="n"/>
      <c r="BE29" s="63" t="n"/>
      <c r="BF29" s="63" t="n"/>
      <c r="BG29" s="63" t="n"/>
      <c r="BH29" s="63" t="n"/>
      <c r="BI29" s="63" t="n"/>
      <c r="BJ29" s="63" t="n"/>
      <c r="BK29" s="63" t="n"/>
      <c r="BL29" s="63" t="n"/>
      <c r="BM29" s="63" t="n"/>
      <c r="BN29" s="63" t="n"/>
      <c r="BO29" s="63" t="n"/>
      <c r="BP29" s="63" t="n"/>
      <c r="BQ29" s="63" t="n"/>
    </row>
    <row r="30" ht="15" customHeight="1" s="37">
      <c r="A30" s="61">
        <f>'Master Plan'!A30</f>
        <v/>
      </c>
      <c r="B30" s="61">
        <f>'Master Plan'!B30</f>
        <v/>
      </c>
      <c r="C30" s="61">
        <f>'Master Plan'!C30</f>
        <v/>
      </c>
      <c r="D30" s="62">
        <f>'Master Plan'!F30</f>
        <v/>
      </c>
      <c r="E30" s="62">
        <f>'Master Plan'!G30</f>
        <v/>
      </c>
      <c r="F30" s="61">
        <f>'Master Plan'!M30</f>
        <v/>
      </c>
      <c r="G30" s="63" t="n"/>
      <c r="H30" s="63" t="n"/>
      <c r="I30" s="63" t="n"/>
      <c r="J30" s="63" t="n"/>
      <c r="K30" s="63" t="n"/>
      <c r="L30" s="63" t="n"/>
      <c r="M30" s="63" t="n"/>
      <c r="N30" s="63" t="n"/>
      <c r="O30" s="63" t="n"/>
      <c r="P30" s="63" t="n"/>
      <c r="Q30" s="63" t="n"/>
      <c r="R30" s="63" t="n"/>
      <c r="S30" s="63" t="n"/>
      <c r="T30" s="63" t="n"/>
      <c r="U30" s="63" t="n"/>
      <c r="V30" s="63" t="n"/>
      <c r="W30" s="63" t="n"/>
      <c r="X30" s="63" t="n"/>
      <c r="Y30" s="63" t="n"/>
      <c r="Z30" s="63" t="n"/>
      <c r="AA30" s="63" t="n"/>
      <c r="AB30" s="63" t="n"/>
      <c r="AC30" s="63" t="n"/>
      <c r="AD30" s="63" t="n"/>
      <c r="AE30" s="63" t="n"/>
      <c r="AF30" s="63" t="n"/>
      <c r="AG30" s="63" t="n"/>
      <c r="AH30" s="63" t="n"/>
      <c r="AI30" s="63" t="n"/>
      <c r="AJ30" s="63" t="n"/>
      <c r="AK30" s="63" t="n"/>
      <c r="AL30" s="63" t="n"/>
      <c r="AM30" s="63" t="n"/>
      <c r="AN30" s="63" t="n"/>
      <c r="AO30" s="63" t="n"/>
      <c r="AP30" s="63" t="n"/>
      <c r="AQ30" s="63" t="n"/>
      <c r="AR30" s="63" t="n"/>
      <c r="AS30" s="63" t="n"/>
      <c r="AT30" s="63" t="n"/>
      <c r="AU30" s="63" t="n"/>
      <c r="AV30" s="63" t="n"/>
      <c r="AW30" s="63" t="n"/>
      <c r="AX30" s="63" t="n"/>
      <c r="AY30" s="63" t="n"/>
      <c r="AZ30" s="63" t="n"/>
      <c r="BA30" s="63" t="n"/>
      <c r="BB30" s="63" t="n"/>
      <c r="BC30" s="63" t="n"/>
      <c r="BD30" s="63" t="n"/>
      <c r="BE30" s="63" t="n"/>
      <c r="BF30" s="63" t="n"/>
      <c r="BG30" s="63" t="n"/>
      <c r="BH30" s="63" t="n"/>
      <c r="BI30" s="63" t="n"/>
      <c r="BJ30" s="63" t="n"/>
      <c r="BK30" s="63" t="n"/>
      <c r="BL30" s="63" t="n"/>
      <c r="BM30" s="63" t="n"/>
      <c r="BN30" s="63" t="n"/>
      <c r="BO30" s="63" t="n"/>
      <c r="BP30" s="63" t="n"/>
      <c r="BQ30" s="63" t="n"/>
    </row>
    <row r="31" ht="15" customHeight="1" s="37">
      <c r="A31" s="61">
        <f>'Master Plan'!A31</f>
        <v/>
      </c>
      <c r="B31" s="61">
        <f>'Master Plan'!B31</f>
        <v/>
      </c>
      <c r="C31" s="61">
        <f>'Master Plan'!C31</f>
        <v/>
      </c>
      <c r="D31" s="62">
        <f>'Master Plan'!F31</f>
        <v/>
      </c>
      <c r="E31" s="62">
        <f>'Master Plan'!G31</f>
        <v/>
      </c>
      <c r="F31" s="61">
        <f>'Master Plan'!M31</f>
        <v/>
      </c>
      <c r="G31" s="63" t="n"/>
      <c r="H31" s="63" t="n"/>
      <c r="I31" s="63" t="n"/>
      <c r="J31" s="63" t="n"/>
      <c r="K31" s="63" t="n"/>
      <c r="L31" s="63" t="n"/>
      <c r="M31" s="63" t="n"/>
      <c r="N31" s="63" t="n"/>
      <c r="O31" s="63" t="n"/>
      <c r="P31" s="63" t="n"/>
      <c r="Q31" s="63" t="n"/>
      <c r="R31" s="63" t="n"/>
      <c r="S31" s="63" t="n"/>
      <c r="T31" s="63" t="n"/>
      <c r="U31" s="63" t="n"/>
      <c r="V31" s="63" t="n"/>
      <c r="W31" s="63" t="n"/>
      <c r="X31" s="63" t="n"/>
      <c r="Y31" s="63" t="n"/>
      <c r="Z31" s="63" t="n"/>
      <c r="AA31" s="63" t="n"/>
      <c r="AB31" s="63" t="n"/>
      <c r="AC31" s="63" t="n"/>
      <c r="AD31" s="63" t="n"/>
      <c r="AE31" s="63" t="n"/>
      <c r="AF31" s="63" t="n"/>
      <c r="AG31" s="63" t="n"/>
      <c r="AH31" s="63" t="n"/>
      <c r="AI31" s="63" t="n"/>
      <c r="AJ31" s="63" t="n"/>
      <c r="AK31" s="63" t="n"/>
      <c r="AL31" s="63" t="n"/>
      <c r="AM31" s="63" t="n"/>
      <c r="AN31" s="63" t="n"/>
      <c r="AO31" s="63" t="n"/>
      <c r="AP31" s="63" t="n"/>
      <c r="AQ31" s="63" t="n"/>
      <c r="AR31" s="63" t="n"/>
      <c r="AS31" s="63" t="n"/>
      <c r="AT31" s="63" t="n"/>
      <c r="AU31" s="63" t="n"/>
      <c r="AV31" s="63" t="n"/>
      <c r="AW31" s="63" t="n"/>
      <c r="AX31" s="63" t="n"/>
      <c r="AY31" s="63" t="n"/>
      <c r="AZ31" s="63" t="n"/>
      <c r="BA31" s="63" t="n"/>
      <c r="BB31" s="63" t="n"/>
      <c r="BC31" s="63" t="n"/>
      <c r="BD31" s="63" t="n"/>
      <c r="BE31" s="63" t="n"/>
      <c r="BF31" s="63" t="n"/>
      <c r="BG31" s="63" t="n"/>
      <c r="BH31" s="63" t="n"/>
      <c r="BI31" s="63" t="n"/>
      <c r="BJ31" s="63" t="n"/>
      <c r="BK31" s="63" t="n"/>
      <c r="BL31" s="63" t="n"/>
      <c r="BM31" s="63" t="n"/>
      <c r="BN31" s="63" t="n"/>
      <c r="BO31" s="63" t="n"/>
      <c r="BP31" s="63" t="n"/>
      <c r="BQ31" s="63" t="n"/>
    </row>
    <row r="32" ht="15" customHeight="1" s="37">
      <c r="A32" s="61">
        <f>'Master Plan'!A32</f>
        <v/>
      </c>
      <c r="B32" s="61">
        <f>'Master Plan'!B32</f>
        <v/>
      </c>
      <c r="C32" s="61">
        <f>'Master Plan'!C32</f>
        <v/>
      </c>
      <c r="D32" s="62">
        <f>'Master Plan'!F32</f>
        <v/>
      </c>
      <c r="E32" s="62">
        <f>'Master Plan'!G32</f>
        <v/>
      </c>
      <c r="F32" s="61">
        <f>'Master Plan'!M32</f>
        <v/>
      </c>
      <c r="G32" s="63" t="n"/>
      <c r="H32" s="63" t="n"/>
      <c r="I32" s="63" t="n"/>
      <c r="J32" s="63" t="n"/>
      <c r="K32" s="63" t="n"/>
      <c r="L32" s="63" t="n"/>
      <c r="M32" s="63" t="n"/>
      <c r="N32" s="63" t="n"/>
      <c r="O32" s="63" t="n"/>
      <c r="P32" s="63" t="n"/>
      <c r="Q32" s="63" t="n"/>
      <c r="R32" s="63" t="n"/>
      <c r="S32" s="63" t="n"/>
      <c r="T32" s="63" t="n"/>
      <c r="U32" s="63" t="n"/>
      <c r="V32" s="63" t="n"/>
      <c r="W32" s="63" t="n"/>
      <c r="X32" s="63" t="n"/>
      <c r="Y32" s="63" t="n"/>
      <c r="Z32" s="63" t="n"/>
      <c r="AA32" s="63" t="n"/>
      <c r="AB32" s="63" t="n"/>
      <c r="AC32" s="63" t="n"/>
      <c r="AD32" s="63" t="n"/>
      <c r="AE32" s="63" t="n"/>
      <c r="AF32" s="63" t="n"/>
      <c r="AG32" s="63" t="n"/>
      <c r="AH32" s="63" t="n"/>
      <c r="AI32" s="63" t="n"/>
      <c r="AJ32" s="63" t="n"/>
      <c r="AK32" s="63" t="n"/>
      <c r="AL32" s="63" t="n"/>
      <c r="AM32" s="63" t="n"/>
      <c r="AN32" s="63" t="n"/>
      <c r="AO32" s="63" t="n"/>
      <c r="AP32" s="63" t="n"/>
      <c r="AQ32" s="63" t="n"/>
      <c r="AR32" s="63" t="n"/>
      <c r="AS32" s="63" t="n"/>
      <c r="AT32" s="63" t="n"/>
      <c r="AU32" s="63" t="n"/>
      <c r="AV32" s="63" t="n"/>
      <c r="AW32" s="63" t="n"/>
      <c r="AX32" s="63" t="n"/>
      <c r="AY32" s="63" t="n"/>
      <c r="AZ32" s="63" t="n"/>
      <c r="BA32" s="63" t="n"/>
      <c r="BB32" s="63" t="n"/>
      <c r="BC32" s="63" t="n"/>
      <c r="BD32" s="63" t="n"/>
      <c r="BE32" s="63" t="n"/>
      <c r="BF32" s="63" t="n"/>
      <c r="BG32" s="63" t="n"/>
      <c r="BH32" s="63" t="n"/>
      <c r="BI32" s="63" t="n"/>
      <c r="BJ32" s="63" t="n"/>
      <c r="BK32" s="63" t="n"/>
      <c r="BL32" s="63" t="n"/>
      <c r="BM32" s="63" t="n"/>
      <c r="BN32" s="63" t="n"/>
      <c r="BO32" s="63" t="n"/>
      <c r="BP32" s="63" t="n"/>
      <c r="BQ32" s="63" t="n"/>
    </row>
    <row r="33" ht="15" customHeight="1" s="37">
      <c r="A33" s="61">
        <f>'Master Plan'!A33</f>
        <v/>
      </c>
      <c r="B33" s="61">
        <f>'Master Plan'!B33</f>
        <v/>
      </c>
      <c r="C33" s="61">
        <f>'Master Plan'!C33</f>
        <v/>
      </c>
      <c r="D33" s="62">
        <f>'Master Plan'!F33</f>
        <v/>
      </c>
      <c r="E33" s="62">
        <f>'Master Plan'!G33</f>
        <v/>
      </c>
      <c r="F33" s="61">
        <f>'Master Plan'!M33</f>
        <v/>
      </c>
      <c r="G33" s="63" t="n"/>
      <c r="H33" s="63" t="n"/>
      <c r="I33" s="63" t="n"/>
      <c r="J33" s="63" t="n"/>
      <c r="K33" s="63" t="n"/>
      <c r="L33" s="63" t="n"/>
      <c r="M33" s="63" t="n"/>
      <c r="N33" s="63" t="n"/>
      <c r="O33" s="63" t="n"/>
      <c r="P33" s="63" t="n"/>
      <c r="Q33" s="63" t="n"/>
      <c r="R33" s="63" t="n"/>
      <c r="S33" s="63" t="n"/>
      <c r="T33" s="63" t="n"/>
      <c r="U33" s="63" t="n"/>
      <c r="V33" s="63" t="n"/>
      <c r="W33" s="63" t="n"/>
      <c r="X33" s="63" t="n"/>
      <c r="Y33" s="63" t="n"/>
      <c r="Z33" s="63" t="n"/>
      <c r="AA33" s="63" t="n"/>
      <c r="AB33" s="63" t="n"/>
      <c r="AC33" s="63" t="n"/>
      <c r="AD33" s="63" t="n"/>
      <c r="AE33" s="63" t="n"/>
      <c r="AF33" s="63" t="n"/>
      <c r="AG33" s="63" t="n"/>
      <c r="AH33" s="63" t="n"/>
      <c r="AI33" s="63" t="n"/>
      <c r="AJ33" s="63" t="n"/>
      <c r="AK33" s="63" t="n"/>
      <c r="AL33" s="63" t="n"/>
      <c r="AM33" s="63" t="n"/>
      <c r="AN33" s="63" t="n"/>
      <c r="AO33" s="63" t="n"/>
      <c r="AP33" s="63" t="n"/>
      <c r="AQ33" s="63" t="n"/>
      <c r="AR33" s="63" t="n"/>
      <c r="AS33" s="63" t="n"/>
      <c r="AT33" s="63" t="n"/>
      <c r="AU33" s="63" t="n"/>
      <c r="AV33" s="63" t="n"/>
      <c r="AW33" s="63" t="n"/>
      <c r="AX33" s="63" t="n"/>
      <c r="AY33" s="63" t="n"/>
      <c r="AZ33" s="63" t="n"/>
      <c r="BA33" s="63" t="n"/>
      <c r="BB33" s="63" t="n"/>
      <c r="BC33" s="63" t="n"/>
      <c r="BD33" s="63" t="n"/>
      <c r="BE33" s="63" t="n"/>
      <c r="BF33" s="63" t="n"/>
      <c r="BG33" s="63" t="n"/>
      <c r="BH33" s="63" t="n"/>
      <c r="BI33" s="63" t="n"/>
      <c r="BJ33" s="63" t="n"/>
      <c r="BK33" s="63" t="n"/>
      <c r="BL33" s="63" t="n"/>
      <c r="BM33" s="63" t="n"/>
      <c r="BN33" s="63" t="n"/>
      <c r="BO33" s="63" t="n"/>
      <c r="BP33" s="63" t="n"/>
      <c r="BQ33" s="63" t="n"/>
    </row>
    <row r="34" ht="15" customHeight="1" s="37">
      <c r="A34" s="61">
        <f>'Master Plan'!A34</f>
        <v/>
      </c>
      <c r="B34" s="61">
        <f>'Master Plan'!B34</f>
        <v/>
      </c>
      <c r="C34" s="61">
        <f>'Master Plan'!C34</f>
        <v/>
      </c>
      <c r="D34" s="62">
        <f>'Master Plan'!F34</f>
        <v/>
      </c>
      <c r="E34" s="62">
        <f>'Master Plan'!G34</f>
        <v/>
      </c>
      <c r="F34" s="61">
        <f>'Master Plan'!M34</f>
        <v/>
      </c>
      <c r="G34" s="63" t="n"/>
      <c r="H34" s="63" t="n"/>
      <c r="I34" s="63" t="n"/>
      <c r="J34" s="63" t="n"/>
      <c r="K34" s="63" t="n"/>
      <c r="L34" s="63" t="n"/>
      <c r="M34" s="63" t="n"/>
      <c r="N34" s="63" t="n"/>
      <c r="O34" s="63" t="n"/>
      <c r="P34" s="63" t="n"/>
      <c r="Q34" s="63" t="n"/>
      <c r="R34" s="63" t="n"/>
      <c r="S34" s="63" t="n"/>
      <c r="T34" s="63" t="n"/>
      <c r="U34" s="63" t="n"/>
      <c r="V34" s="63" t="n"/>
      <c r="W34" s="63" t="n"/>
      <c r="X34" s="63" t="n"/>
      <c r="Y34" s="63" t="n"/>
      <c r="Z34" s="63" t="n"/>
      <c r="AA34" s="63" t="n"/>
      <c r="AB34" s="63" t="n"/>
      <c r="AC34" s="63" t="n"/>
      <c r="AD34" s="63" t="n"/>
      <c r="AE34" s="63" t="n"/>
      <c r="AF34" s="63" t="n"/>
      <c r="AG34" s="63" t="n"/>
      <c r="AH34" s="63" t="n"/>
      <c r="AI34" s="63" t="n"/>
      <c r="AJ34" s="63" t="n"/>
      <c r="AK34" s="63" t="n"/>
      <c r="AL34" s="63" t="n"/>
      <c r="AM34" s="63" t="n"/>
      <c r="AN34" s="63" t="n"/>
      <c r="AO34" s="63" t="n"/>
      <c r="AP34" s="63" t="n"/>
      <c r="AQ34" s="63" t="n"/>
      <c r="AR34" s="63" t="n"/>
      <c r="AS34" s="63" t="n"/>
      <c r="AT34" s="63" t="n"/>
      <c r="AU34" s="63" t="n"/>
      <c r="AV34" s="63" t="n"/>
      <c r="AW34" s="63" t="n"/>
      <c r="AX34" s="63" t="n"/>
      <c r="AY34" s="63" t="n"/>
      <c r="AZ34" s="63" t="n"/>
      <c r="BA34" s="63" t="n"/>
      <c r="BB34" s="63" t="n"/>
      <c r="BC34" s="63" t="n"/>
      <c r="BD34" s="63" t="n"/>
      <c r="BE34" s="63" t="n"/>
      <c r="BF34" s="63" t="n"/>
      <c r="BG34" s="63" t="n"/>
      <c r="BH34" s="63" t="n"/>
      <c r="BI34" s="63" t="n"/>
      <c r="BJ34" s="63" t="n"/>
      <c r="BK34" s="63" t="n"/>
      <c r="BL34" s="63" t="n"/>
      <c r="BM34" s="63" t="n"/>
      <c r="BN34" s="63" t="n"/>
      <c r="BO34" s="63" t="n"/>
      <c r="BP34" s="63" t="n"/>
      <c r="BQ34" s="63" t="n"/>
    </row>
    <row r="35" ht="15" customHeight="1" s="37">
      <c r="A35" s="61">
        <f>'Master Plan'!A35</f>
        <v/>
      </c>
      <c r="B35" s="61">
        <f>'Master Plan'!B35</f>
        <v/>
      </c>
      <c r="C35" s="61">
        <f>'Master Plan'!C35</f>
        <v/>
      </c>
      <c r="D35" s="62">
        <f>'Master Plan'!F35</f>
        <v/>
      </c>
      <c r="E35" s="62">
        <f>'Master Plan'!G35</f>
        <v/>
      </c>
      <c r="F35" s="61">
        <f>'Master Plan'!M35</f>
        <v/>
      </c>
      <c r="G35" s="63" t="n"/>
      <c r="H35" s="63" t="n"/>
      <c r="I35" s="63" t="n"/>
      <c r="J35" s="63" t="n"/>
      <c r="K35" s="63" t="n"/>
      <c r="L35" s="63" t="n"/>
      <c r="M35" s="63" t="n"/>
      <c r="N35" s="63" t="n"/>
      <c r="O35" s="63" t="n"/>
      <c r="P35" s="63" t="n"/>
      <c r="Q35" s="63" t="n"/>
      <c r="R35" s="63" t="n"/>
      <c r="S35" s="63" t="n"/>
      <c r="T35" s="63" t="n"/>
      <c r="U35" s="63" t="n"/>
      <c r="V35" s="63" t="n"/>
      <c r="W35" s="63" t="n"/>
      <c r="X35" s="63" t="n"/>
      <c r="Y35" s="63" t="n"/>
      <c r="Z35" s="63" t="n"/>
      <c r="AA35" s="63" t="n"/>
      <c r="AB35" s="63" t="n"/>
      <c r="AC35" s="63" t="n"/>
      <c r="AD35" s="63" t="n"/>
      <c r="AE35" s="63" t="n"/>
      <c r="AF35" s="63" t="n"/>
      <c r="AG35" s="63" t="n"/>
      <c r="AH35" s="63" t="n"/>
      <c r="AI35" s="63" t="n"/>
      <c r="AJ35" s="63" t="n"/>
      <c r="AK35" s="63" t="n"/>
      <c r="AL35" s="63" t="n"/>
      <c r="AM35" s="63" t="n"/>
      <c r="AN35" s="63" t="n"/>
      <c r="AO35" s="63" t="n"/>
      <c r="AP35" s="63" t="n"/>
      <c r="AQ35" s="63" t="n"/>
      <c r="AR35" s="63" t="n"/>
      <c r="AS35" s="63" t="n"/>
      <c r="AT35" s="63" t="n"/>
      <c r="AU35" s="63" t="n"/>
      <c r="AV35" s="63" t="n"/>
      <c r="AW35" s="63" t="n"/>
      <c r="AX35" s="63" t="n"/>
      <c r="AY35" s="63" t="n"/>
      <c r="AZ35" s="63" t="n"/>
      <c r="BA35" s="63" t="n"/>
      <c r="BB35" s="63" t="n"/>
      <c r="BC35" s="63" t="n"/>
      <c r="BD35" s="63" t="n"/>
      <c r="BE35" s="63" t="n"/>
      <c r="BF35" s="63" t="n"/>
      <c r="BG35" s="63" t="n"/>
      <c r="BH35" s="63" t="n"/>
      <c r="BI35" s="63" t="n"/>
      <c r="BJ35" s="63" t="n"/>
      <c r="BK35" s="63" t="n"/>
      <c r="BL35" s="63" t="n"/>
      <c r="BM35" s="63" t="n"/>
      <c r="BN35" s="63" t="n"/>
      <c r="BO35" s="63" t="n"/>
      <c r="BP35" s="63" t="n"/>
      <c r="BQ35" s="63" t="n"/>
    </row>
    <row r="36" ht="15" customHeight="1" s="37">
      <c r="A36" s="61">
        <f>'Master Plan'!A36</f>
        <v/>
      </c>
      <c r="B36" s="61">
        <f>'Master Plan'!B36</f>
        <v/>
      </c>
      <c r="C36" s="61">
        <f>'Master Plan'!C36</f>
        <v/>
      </c>
      <c r="D36" s="62">
        <f>'Master Plan'!F36</f>
        <v/>
      </c>
      <c r="E36" s="62">
        <f>'Master Plan'!G36</f>
        <v/>
      </c>
      <c r="F36" s="61">
        <f>'Master Plan'!M36</f>
        <v/>
      </c>
      <c r="G36" s="63" t="n"/>
      <c r="H36" s="63" t="n"/>
      <c r="I36" s="63" t="n"/>
      <c r="J36" s="63" t="n"/>
      <c r="K36" s="63" t="n"/>
      <c r="L36" s="63" t="n"/>
      <c r="M36" s="63" t="n"/>
      <c r="N36" s="63" t="n"/>
      <c r="O36" s="63" t="n"/>
      <c r="P36" s="63" t="n"/>
      <c r="Q36" s="63" t="n"/>
      <c r="R36" s="63" t="n"/>
      <c r="S36" s="63" t="n"/>
      <c r="T36" s="63" t="n"/>
      <c r="U36" s="63" t="n"/>
      <c r="V36" s="63" t="n"/>
      <c r="W36" s="63" t="n"/>
      <c r="X36" s="63" t="n"/>
      <c r="Y36" s="63" t="n"/>
      <c r="Z36" s="63" t="n"/>
      <c r="AA36" s="63" t="n"/>
      <c r="AB36" s="63" t="n"/>
      <c r="AC36" s="63" t="n"/>
      <c r="AD36" s="63" t="n"/>
      <c r="AE36" s="63" t="n"/>
      <c r="AF36" s="63" t="n"/>
      <c r="AG36" s="63" t="n"/>
      <c r="AH36" s="63" t="n"/>
      <c r="AI36" s="63" t="n"/>
      <c r="AJ36" s="63" t="n"/>
      <c r="AK36" s="63" t="n"/>
      <c r="AL36" s="63" t="n"/>
      <c r="AM36" s="63" t="n"/>
      <c r="AN36" s="63" t="n"/>
      <c r="AO36" s="63" t="n"/>
      <c r="AP36" s="63" t="n"/>
      <c r="AQ36" s="63" t="n"/>
      <c r="AR36" s="63" t="n"/>
      <c r="AS36" s="63" t="n"/>
      <c r="AT36" s="63" t="n"/>
      <c r="AU36" s="63" t="n"/>
      <c r="AV36" s="63" t="n"/>
      <c r="AW36" s="63" t="n"/>
      <c r="AX36" s="63" t="n"/>
      <c r="AY36" s="63" t="n"/>
      <c r="AZ36" s="63" t="n"/>
      <c r="BA36" s="63" t="n"/>
      <c r="BB36" s="63" t="n"/>
      <c r="BC36" s="63" t="n"/>
      <c r="BD36" s="63" t="n"/>
      <c r="BE36" s="63" t="n"/>
      <c r="BF36" s="63" t="n"/>
      <c r="BG36" s="63" t="n"/>
      <c r="BH36" s="63" t="n"/>
      <c r="BI36" s="63" t="n"/>
      <c r="BJ36" s="63" t="n"/>
      <c r="BK36" s="63" t="n"/>
      <c r="BL36" s="63" t="n"/>
      <c r="BM36" s="63" t="n"/>
      <c r="BN36" s="63" t="n"/>
      <c r="BO36" s="63" t="n"/>
      <c r="BP36" s="63" t="n"/>
      <c r="BQ36" s="63" t="n"/>
    </row>
    <row r="37" ht="15" customHeight="1" s="37">
      <c r="A37" s="61">
        <f>'Master Plan'!A37</f>
        <v/>
      </c>
      <c r="B37" s="61">
        <f>'Master Plan'!B37</f>
        <v/>
      </c>
      <c r="C37" s="61">
        <f>'Master Plan'!C37</f>
        <v/>
      </c>
      <c r="D37" s="62">
        <f>'Master Plan'!F37</f>
        <v/>
      </c>
      <c r="E37" s="62">
        <f>'Master Plan'!G37</f>
        <v/>
      </c>
      <c r="F37" s="61">
        <f>'Master Plan'!M37</f>
        <v/>
      </c>
      <c r="G37" s="63" t="n"/>
      <c r="H37" s="63" t="n"/>
      <c r="I37" s="63" t="n"/>
      <c r="J37" s="63" t="n"/>
      <c r="K37" s="63" t="n"/>
      <c r="L37" s="63" t="n"/>
      <c r="M37" s="63" t="n"/>
      <c r="N37" s="63" t="n"/>
      <c r="O37" s="63" t="n"/>
      <c r="P37" s="63" t="n"/>
      <c r="Q37" s="63" t="n"/>
      <c r="R37" s="63" t="n"/>
      <c r="S37" s="63" t="n"/>
      <c r="T37" s="63" t="n"/>
      <c r="U37" s="63" t="n"/>
      <c r="V37" s="63" t="n"/>
      <c r="W37" s="63" t="n"/>
      <c r="X37" s="63" t="n"/>
      <c r="Y37" s="63" t="n"/>
      <c r="Z37" s="63" t="n"/>
      <c r="AA37" s="63" t="n"/>
      <c r="AB37" s="63" t="n"/>
      <c r="AC37" s="63" t="n"/>
      <c r="AD37" s="63" t="n"/>
      <c r="AE37" s="63" t="n"/>
      <c r="AF37" s="63" t="n"/>
      <c r="AG37" s="63" t="n"/>
      <c r="AH37" s="63" t="n"/>
      <c r="AI37" s="63" t="n"/>
      <c r="AJ37" s="63" t="n"/>
      <c r="AK37" s="63" t="n"/>
      <c r="AL37" s="63" t="n"/>
      <c r="AM37" s="63" t="n"/>
      <c r="AN37" s="63" t="n"/>
      <c r="AO37" s="63" t="n"/>
      <c r="AP37" s="63" t="n"/>
      <c r="AQ37" s="63" t="n"/>
      <c r="AR37" s="63" t="n"/>
      <c r="AS37" s="63" t="n"/>
      <c r="AT37" s="63" t="n"/>
      <c r="AU37" s="63" t="n"/>
      <c r="AV37" s="63" t="n"/>
      <c r="AW37" s="63" t="n"/>
      <c r="AX37" s="63" t="n"/>
      <c r="AY37" s="63" t="n"/>
      <c r="AZ37" s="63" t="n"/>
      <c r="BA37" s="63" t="n"/>
      <c r="BB37" s="63" t="n"/>
      <c r="BC37" s="63" t="n"/>
      <c r="BD37" s="63" t="n"/>
      <c r="BE37" s="63" t="n"/>
      <c r="BF37" s="63" t="n"/>
      <c r="BG37" s="63" t="n"/>
      <c r="BH37" s="63" t="n"/>
      <c r="BI37" s="63" t="n"/>
      <c r="BJ37" s="63" t="n"/>
      <c r="BK37" s="63" t="n"/>
      <c r="BL37" s="63" t="n"/>
      <c r="BM37" s="63" t="n"/>
      <c r="BN37" s="63" t="n"/>
      <c r="BO37" s="63" t="n"/>
      <c r="BP37" s="63" t="n"/>
      <c r="BQ37" s="63" t="n"/>
    </row>
    <row r="38" ht="15" customHeight="1" s="37">
      <c r="A38" s="61">
        <f>'Master Plan'!A38</f>
        <v/>
      </c>
      <c r="B38" s="61">
        <f>'Master Plan'!B38</f>
        <v/>
      </c>
      <c r="C38" s="61">
        <f>'Master Plan'!C38</f>
        <v/>
      </c>
      <c r="D38" s="62">
        <f>'Master Plan'!F38</f>
        <v/>
      </c>
      <c r="E38" s="62">
        <f>'Master Plan'!G38</f>
        <v/>
      </c>
      <c r="F38" s="61">
        <f>'Master Plan'!M38</f>
        <v/>
      </c>
      <c r="G38" s="63" t="n"/>
      <c r="H38" s="63" t="n"/>
      <c r="I38" s="63" t="n"/>
      <c r="J38" s="63" t="n"/>
      <c r="K38" s="63" t="n"/>
      <c r="L38" s="63" t="n"/>
      <c r="M38" s="63" t="n"/>
      <c r="N38" s="63" t="n"/>
      <c r="O38" s="63" t="n"/>
      <c r="P38" s="63" t="n"/>
      <c r="Q38" s="63" t="n"/>
      <c r="R38" s="63" t="n"/>
      <c r="S38" s="63" t="n"/>
      <c r="T38" s="63" t="n"/>
      <c r="U38" s="63" t="n"/>
      <c r="V38" s="63" t="n"/>
      <c r="W38" s="63" t="n"/>
      <c r="X38" s="63" t="n"/>
      <c r="Y38" s="63" t="n"/>
      <c r="Z38" s="63" t="n"/>
      <c r="AA38" s="63" t="n"/>
      <c r="AB38" s="63" t="n"/>
      <c r="AC38" s="63" t="n"/>
      <c r="AD38" s="63" t="n"/>
      <c r="AE38" s="63" t="n"/>
      <c r="AF38" s="63" t="n"/>
      <c r="AG38" s="63" t="n"/>
      <c r="AH38" s="63" t="n"/>
      <c r="AI38" s="63" t="n"/>
      <c r="AJ38" s="63" t="n"/>
      <c r="AK38" s="63" t="n"/>
      <c r="AL38" s="63" t="n"/>
      <c r="AM38" s="63" t="n"/>
      <c r="AN38" s="63" t="n"/>
      <c r="AO38" s="63" t="n"/>
      <c r="AP38" s="63" t="n"/>
      <c r="AQ38" s="63" t="n"/>
      <c r="AR38" s="63" t="n"/>
      <c r="AS38" s="63" t="n"/>
      <c r="AT38" s="63" t="n"/>
      <c r="AU38" s="63" t="n"/>
      <c r="AV38" s="63" t="n"/>
      <c r="AW38" s="63" t="n"/>
      <c r="AX38" s="63" t="n"/>
      <c r="AY38" s="63" t="n"/>
      <c r="AZ38" s="63" t="n"/>
      <c r="BA38" s="63" t="n"/>
      <c r="BB38" s="63" t="n"/>
      <c r="BC38" s="63" t="n"/>
      <c r="BD38" s="63" t="n"/>
      <c r="BE38" s="63" t="n"/>
      <c r="BF38" s="63" t="n"/>
      <c r="BG38" s="63" t="n"/>
      <c r="BH38" s="63" t="n"/>
      <c r="BI38" s="63" t="n"/>
      <c r="BJ38" s="63" t="n"/>
      <c r="BK38" s="63" t="n"/>
      <c r="BL38" s="63" t="n"/>
      <c r="BM38" s="63" t="n"/>
      <c r="BN38" s="63" t="n"/>
      <c r="BO38" s="63" t="n"/>
      <c r="BP38" s="63" t="n"/>
      <c r="BQ38" s="63" t="n"/>
    </row>
    <row r="39" ht="15" customHeight="1" s="37">
      <c r="A39" s="61">
        <f>'Master Plan'!A39</f>
        <v/>
      </c>
      <c r="B39" s="61">
        <f>'Master Plan'!B39</f>
        <v/>
      </c>
      <c r="C39" s="61">
        <f>'Master Plan'!C39</f>
        <v/>
      </c>
      <c r="D39" s="62">
        <f>'Master Plan'!F39</f>
        <v/>
      </c>
      <c r="E39" s="62">
        <f>'Master Plan'!G39</f>
        <v/>
      </c>
      <c r="F39" s="61">
        <f>'Master Plan'!M39</f>
        <v/>
      </c>
      <c r="G39" s="63" t="n"/>
      <c r="H39" s="63" t="n"/>
      <c r="I39" s="63" t="n"/>
      <c r="J39" s="63" t="n"/>
      <c r="K39" s="63" t="n"/>
      <c r="L39" s="63" t="n"/>
      <c r="M39" s="63" t="n"/>
      <c r="N39" s="63" t="n"/>
      <c r="O39" s="63" t="n"/>
      <c r="P39" s="63" t="n"/>
      <c r="Q39" s="63" t="n"/>
      <c r="R39" s="63" t="n"/>
      <c r="S39" s="63" t="n"/>
      <c r="T39" s="63" t="n"/>
      <c r="U39" s="63" t="n"/>
      <c r="V39" s="63" t="n"/>
      <c r="W39" s="63" t="n"/>
      <c r="X39" s="63" t="n"/>
      <c r="Y39" s="63" t="n"/>
      <c r="Z39" s="63" t="n"/>
      <c r="AA39" s="63" t="n"/>
      <c r="AB39" s="63" t="n"/>
      <c r="AC39" s="63" t="n"/>
      <c r="AD39" s="63" t="n"/>
      <c r="AE39" s="63" t="n"/>
      <c r="AF39" s="63" t="n"/>
      <c r="AG39" s="63" t="n"/>
      <c r="AH39" s="63" t="n"/>
      <c r="AI39" s="63" t="n"/>
      <c r="AJ39" s="63" t="n"/>
      <c r="AK39" s="63" t="n"/>
      <c r="AL39" s="63" t="n"/>
      <c r="AM39" s="63" t="n"/>
      <c r="AN39" s="63" t="n"/>
      <c r="AO39" s="63" t="n"/>
      <c r="AP39" s="63" t="n"/>
      <c r="AQ39" s="63" t="n"/>
      <c r="AR39" s="63" t="n"/>
      <c r="AS39" s="63" t="n"/>
      <c r="AT39" s="63" t="n"/>
      <c r="AU39" s="63" t="n"/>
      <c r="AV39" s="63" t="n"/>
      <c r="AW39" s="63" t="n"/>
      <c r="AX39" s="63" t="n"/>
      <c r="AY39" s="63" t="n"/>
      <c r="AZ39" s="63" t="n"/>
      <c r="BA39" s="63" t="n"/>
      <c r="BB39" s="63" t="n"/>
      <c r="BC39" s="63" t="n"/>
      <c r="BD39" s="63" t="n"/>
      <c r="BE39" s="63" t="n"/>
      <c r="BF39" s="63" t="n"/>
      <c r="BG39" s="63" t="n"/>
      <c r="BH39" s="63" t="n"/>
      <c r="BI39" s="63" t="n"/>
      <c r="BJ39" s="63" t="n"/>
      <c r="BK39" s="63" t="n"/>
      <c r="BL39" s="63" t="n"/>
      <c r="BM39" s="63" t="n"/>
      <c r="BN39" s="63" t="n"/>
      <c r="BO39" s="63" t="n"/>
      <c r="BP39" s="63" t="n"/>
      <c r="BQ39" s="63" t="n"/>
    </row>
    <row r="40" ht="15" customHeight="1" s="37">
      <c r="A40" s="61">
        <f>'Master Plan'!A40</f>
        <v/>
      </c>
      <c r="B40" s="61">
        <f>'Master Plan'!B40</f>
        <v/>
      </c>
      <c r="C40" s="61">
        <f>'Master Plan'!C40</f>
        <v/>
      </c>
      <c r="D40" s="62">
        <f>'Master Plan'!F40</f>
        <v/>
      </c>
      <c r="E40" s="62">
        <f>'Master Plan'!G40</f>
        <v/>
      </c>
      <c r="F40" s="61">
        <f>'Master Plan'!M40</f>
        <v/>
      </c>
      <c r="G40" s="63" t="n"/>
      <c r="H40" s="63" t="n"/>
      <c r="I40" s="63" t="n"/>
      <c r="J40" s="63" t="n"/>
      <c r="K40" s="63" t="n"/>
      <c r="L40" s="63" t="n"/>
      <c r="M40" s="63" t="n"/>
      <c r="N40" s="63" t="n"/>
      <c r="O40" s="63" t="n"/>
      <c r="P40" s="63" t="n"/>
      <c r="Q40" s="63" t="n"/>
      <c r="R40" s="63" t="n"/>
      <c r="S40" s="63" t="n"/>
      <c r="T40" s="63" t="n"/>
      <c r="U40" s="63" t="n"/>
      <c r="V40" s="63" t="n"/>
      <c r="W40" s="63" t="n"/>
      <c r="X40" s="63" t="n"/>
      <c r="Y40" s="63" t="n"/>
      <c r="Z40" s="63" t="n"/>
      <c r="AA40" s="63" t="n"/>
      <c r="AB40" s="63" t="n"/>
      <c r="AC40" s="63" t="n"/>
      <c r="AD40" s="63" t="n"/>
      <c r="AE40" s="63" t="n"/>
      <c r="AF40" s="63" t="n"/>
      <c r="AG40" s="63" t="n"/>
      <c r="AH40" s="63" t="n"/>
      <c r="AI40" s="63" t="n"/>
      <c r="AJ40" s="63" t="n"/>
      <c r="AK40" s="63" t="n"/>
      <c r="AL40" s="63" t="n"/>
      <c r="AM40" s="63" t="n"/>
      <c r="AN40" s="63" t="n"/>
      <c r="AO40" s="63" t="n"/>
      <c r="AP40" s="63" t="n"/>
      <c r="AQ40" s="63" t="n"/>
      <c r="AR40" s="63" t="n"/>
      <c r="AS40" s="63" t="n"/>
      <c r="AT40" s="63" t="n"/>
      <c r="AU40" s="63" t="n"/>
      <c r="AV40" s="63" t="n"/>
      <c r="AW40" s="63" t="n"/>
      <c r="AX40" s="63" t="n"/>
      <c r="AY40" s="63" t="n"/>
      <c r="AZ40" s="63" t="n"/>
      <c r="BA40" s="63" t="n"/>
      <c r="BB40" s="63" t="n"/>
      <c r="BC40" s="63" t="n"/>
      <c r="BD40" s="63" t="n"/>
      <c r="BE40" s="63" t="n"/>
      <c r="BF40" s="63" t="n"/>
      <c r="BG40" s="63" t="n"/>
      <c r="BH40" s="63" t="n"/>
      <c r="BI40" s="63" t="n"/>
      <c r="BJ40" s="63" t="n"/>
      <c r="BK40" s="63" t="n"/>
      <c r="BL40" s="63" t="n"/>
      <c r="BM40" s="63" t="n"/>
      <c r="BN40" s="63" t="n"/>
      <c r="BO40" s="63" t="n"/>
      <c r="BP40" s="63" t="n"/>
      <c r="BQ40" s="63" t="n"/>
    </row>
  </sheetData>
  <sheetProtection selectLockedCells="0" selectUnlockedCells="0" sheet="1" objects="0" insertRows="1" insertHyperlinks="1" autoFilter="1" scenarios="0" formatColumns="1" deleteColumns="1" insertColumns="1" pivotTables="1" deleteRows="1" formatCells="1" formatRows="1" sort="1"/>
  <conditionalFormatting sqref="F6:F40">
    <cfRule type="expression" rank="0" priority="2" equalAverage="0" aboveAverage="0" dxfId="11" text="" percent="0" bottom="0">
      <formula>$F6="Completed"</formula>
    </cfRule>
  </conditionalFormatting>
  <conditionalFormatting sqref="G6:BQ40">
    <cfRule type="expression" rank="0" priority="3" equalAverage="0" aboveAverage="0" dxfId="12" text="" percent="0" bottom="0">
      <formula>AND($F6="Completed",G$5+6&gt;=$D6,G$5&lt;=$E6)</formula>
    </cfRule>
    <cfRule type="expression" rank="0" priority="4" equalAverage="0" aboveAverage="0" dxfId="13" text="" percent="0" bottom="0">
      <formula>AND($F6="Blocked",G$5+6&gt;=$D6,G$5&lt;=$E6)</formula>
    </cfRule>
    <cfRule type="expression" rank="0" priority="5" equalAverage="0" aboveAverage="0" dxfId="14" text="" percent="0" bottom="0">
      <formula>AND($D6&lt;&gt;"",G$5+6&gt;=$D6,G$5&lt;=$E6)</formula>
    </cfRule>
    <cfRule type="expression" rank="0" priority="6" equalAverage="0" aboveAverage="0" dxfId="8" text="" percent="0" bottom="0">
      <formula>AND(TODAY()&gt;=G$5,TODAY()&lt;G$5+7)</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P40"/>
  <sheetViews>
    <sheetView showFormulas="0" showGridLines="1" showRowColHeaders="1" showZeros="1" rightToLeft="0" tabSelected="0" showOutlineSymbols="1" defaultGridColor="1"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I23" activeCellId="0" sqref="I23"/>
    </sheetView>
  </sheetViews>
  <sheetFormatPr baseColWidth="8" defaultColWidth="8.71484375" defaultRowHeight="15" zeroHeight="0" outlineLevelRow="0"/>
  <cols>
    <col width="8" customWidth="1" style="36" min="1" max="1"/>
    <col width="23.86" customWidth="1" style="36" min="2" max="2"/>
    <col width="46" customWidth="1" style="36" min="3" max="3"/>
    <col width="24" customWidth="1" style="36" min="4" max="4"/>
    <col width="30" customWidth="1" style="36" min="5" max="5"/>
    <col width="13" customWidth="1" style="36" min="6" max="7"/>
    <col width="10" customWidth="1" style="36" min="8" max="8"/>
    <col width="16.85" customWidth="1" style="36" min="9" max="9"/>
    <col width="42" customWidth="1" style="36" min="10" max="10"/>
    <col width="9" customWidth="1" style="36" min="11" max="11"/>
    <col width="13" customWidth="1" style="36" min="12" max="13"/>
    <col width="10" customWidth="1" style="36" min="14" max="14"/>
    <col width="11" customWidth="1" style="36" min="15" max="15"/>
    <col width="15" customWidth="1" style="36" min="16" max="16"/>
  </cols>
  <sheetData>
    <row r="1" ht="20.25" customHeight="1" s="37">
      <c r="A1" s="38" t="inlineStr">
        <is>
          <t>NIS2 Group Implementation Project</t>
        </is>
      </c>
    </row>
    <row r="2" ht="15.75" customHeight="1" s="37">
      <c r="A2" s="39" t="inlineStr">
        <is>
          <t>Master Plan</t>
        </is>
      </c>
    </row>
    <row r="3" ht="15" customHeight="1" s="37">
      <c r="A3" s="40" t="inlineStr">
        <is>
          <t>Blue columns are formulas and locked. Gate dates are maintained on the Governance and Gates sheet and pulled in automatically.</t>
        </is>
      </c>
    </row>
    <row r="4" ht="3" customHeight="1" s="37">
      <c r="A4" s="41" t="n"/>
      <c r="B4" s="41" t="n"/>
      <c r="C4" s="41" t="n"/>
      <c r="D4" s="41" t="n"/>
      <c r="E4" s="41" t="n"/>
      <c r="F4" s="41" t="n"/>
      <c r="G4" s="41" t="n"/>
      <c r="H4" s="41" t="n"/>
      <c r="I4" s="41" t="n"/>
      <c r="J4" s="41" t="n"/>
      <c r="K4" s="41" t="n"/>
      <c r="L4" s="41" t="n"/>
      <c r="M4" s="41" t="n"/>
      <c r="N4" s="41" t="n"/>
      <c r="O4" s="41" t="n"/>
      <c r="P4" s="41" t="n"/>
    </row>
    <row r="5" ht="30" customHeight="1" s="37">
      <c r="A5" s="42" t="inlineStr">
        <is>
          <t>ID</t>
        </is>
      </c>
      <c r="B5" s="42" t="inlineStr">
        <is>
          <t>Phase</t>
        </is>
      </c>
      <c r="C5" s="42" t="inlineStr">
        <is>
          <t>Activity</t>
        </is>
      </c>
      <c r="D5" s="42" t="inlineStr">
        <is>
          <t>Primary Owner</t>
        </is>
      </c>
      <c r="E5" s="42" t="inlineStr">
        <is>
          <t>Support</t>
        </is>
      </c>
      <c r="F5" s="42" t="inlineStr">
        <is>
          <t>Planned Start</t>
        </is>
      </c>
      <c r="G5" s="42" t="inlineStr">
        <is>
          <t>Planned Finish</t>
        </is>
      </c>
      <c r="H5" s="42" t="inlineStr">
        <is>
          <t>Duration (Weeks)</t>
        </is>
      </c>
      <c r="I5" s="42" t="inlineStr">
        <is>
          <t>Dependency</t>
        </is>
      </c>
      <c r="J5" s="42" t="inlineStr">
        <is>
          <t>Deliverable / Exit Criterion</t>
        </is>
      </c>
      <c r="K5" s="42" t="inlineStr">
        <is>
          <t>Gate</t>
        </is>
      </c>
      <c r="L5" s="42" t="inlineStr">
        <is>
          <t>Gate Date</t>
        </is>
      </c>
      <c r="M5" s="42" t="inlineStr">
        <is>
          <t>Status</t>
        </is>
      </c>
      <c r="N5" s="42" t="inlineStr">
        <is>
          <t>Priority</t>
        </is>
      </c>
      <c r="O5" s="42" t="inlineStr">
        <is>
          <t>Progress %</t>
        </is>
      </c>
      <c r="P5" s="42" t="inlineStr">
        <is>
          <t>Schedule Status</t>
        </is>
      </c>
    </row>
    <row r="6" ht="15" customHeight="1" s="37">
      <c r="A6" s="64" t="inlineStr">
        <is>
          <t>P1.1</t>
        </is>
      </c>
      <c r="B6" s="65" t="inlineStr">
        <is>
          <t>1. Initiation</t>
        </is>
      </c>
      <c r="C6" s="65" t="inlineStr">
        <is>
          <t>Prepare project kick-off and confirm participants</t>
        </is>
      </c>
      <c r="D6" s="65" t="inlineStr">
        <is>
          <t>Information Security Officer</t>
        </is>
      </c>
      <c r="E6" s="65" t="inlineStr">
        <is>
          <t>IT Coordinator; DPO</t>
        </is>
      </c>
      <c r="F6" s="66" t="n">
        <v>46286</v>
      </c>
      <c r="G6" s="66" t="n">
        <v>46290</v>
      </c>
      <c r="H6" s="53">
        <f>IF(OR(F6="",G6=""),"",ROUNDUP((G6-F6+1)/7,0))</f>
        <v/>
      </c>
      <c r="I6" s="65" t="inlineStr">
        <is>
          <t>None</t>
        </is>
      </c>
      <c r="J6" s="65" t="inlineStr">
        <is>
          <t>Kick-off agenda and participant list available</t>
        </is>
      </c>
      <c r="K6" s="64" t="n"/>
      <c r="L6" s="54">
        <f>IF(K6="","",IFERROR(INDEX('Governance and Gates'!$B$6:$B$11,MATCH(K6,'Governance and Gates'!$A$6:$A$11,0)),""))</f>
        <v/>
      </c>
      <c r="M6" s="64" t="inlineStr">
        <is>
          <t>Not Started</t>
        </is>
      </c>
      <c r="N6" s="64" t="inlineStr">
        <is>
          <t>High</t>
        </is>
      </c>
      <c r="O6" s="67" t="n">
        <v>0</v>
      </c>
      <c r="P6" s="53">
        <f>IF(M6="Completed","Green",IF(OR(F6="",G6=""),"Not Planned",IF(TODAY()&gt;G6,"Red",IF(TODAY()+14&gt;G6,"Amber","Green"))))</f>
        <v/>
      </c>
    </row>
    <row r="7" ht="25.5" customHeight="1" s="37">
      <c r="A7" s="64" t="inlineStr">
        <is>
          <t>P1.2</t>
        </is>
      </c>
      <c r="B7" s="65" t="inlineStr">
        <is>
          <t>1. Initiation</t>
        </is>
      </c>
      <c r="C7" s="65" t="inlineStr">
        <is>
          <t>Conduct project kick-off</t>
        </is>
      </c>
      <c r="D7" s="65" t="inlineStr">
        <is>
          <t>Information Security Officer</t>
        </is>
      </c>
      <c r="E7" s="65" t="inlineStr">
        <is>
          <t>All project roles</t>
        </is>
      </c>
      <c r="F7" s="66" t="n">
        <v>46293</v>
      </c>
      <c r="G7" s="66" t="n">
        <v>46297</v>
      </c>
      <c r="H7" s="53">
        <f>IF(OR(F7="",G7=""),"",ROUNDUP((G7-F7+1)/7,0))</f>
        <v/>
      </c>
      <c r="I7" s="65" t="inlineStr">
        <is>
          <t>P1.1</t>
        </is>
      </c>
      <c r="J7" s="65" t="inlineStr">
        <is>
          <t>Scope, approach, roles and meeting cadence communicated</t>
        </is>
      </c>
      <c r="K7" s="64" t="n"/>
      <c r="L7" s="54">
        <f>IF(K7="","",IFERROR(INDEX('Governance and Gates'!$B$6:$B$11,MATCH(K7,'Governance and Gates'!$A$6:$A$11,0)),""))</f>
        <v/>
      </c>
      <c r="M7" s="64" t="inlineStr">
        <is>
          <t>Not Started</t>
        </is>
      </c>
      <c r="N7" s="64" t="inlineStr">
        <is>
          <t>High</t>
        </is>
      </c>
      <c r="O7" s="67" t="n">
        <v>0</v>
      </c>
      <c r="P7" s="53">
        <f>IF(M7="Completed","Green",IF(OR(F7="",G7=""),"Not Planned",IF(TODAY()&gt;G7,"Red",IF(TODAY()+14&gt;G7,"Amber","Green"))))</f>
        <v/>
      </c>
    </row>
    <row r="8" ht="25.5" customHeight="1" s="37">
      <c r="A8" s="64" t="inlineStr">
        <is>
          <t>P1.3</t>
        </is>
      </c>
      <c r="B8" s="65" t="inlineStr">
        <is>
          <t>1. Initiation</t>
        </is>
      </c>
      <c r="C8" s="65" t="inlineStr">
        <is>
          <t>Confirm project charter, governance and escalation route</t>
        </is>
      </c>
      <c r="D8" s="65" t="inlineStr">
        <is>
          <t>Information Security Officer</t>
        </is>
      </c>
      <c r="E8" s="65" t="inlineStr">
        <is>
          <t>Management Board; IT Coordinator; DPO</t>
        </is>
      </c>
      <c r="F8" s="66" t="n">
        <v>46300</v>
      </c>
      <c r="G8" s="66" t="n">
        <v>46311</v>
      </c>
      <c r="H8" s="53">
        <f>IF(OR(F8="",G8=""),"",ROUNDUP((G8-F8+1)/7,0))</f>
        <v/>
      </c>
      <c r="I8" s="65" t="inlineStr">
        <is>
          <t>P1.2</t>
        </is>
      </c>
      <c r="J8" s="65" t="inlineStr">
        <is>
          <t>Project charter approved</t>
        </is>
      </c>
      <c r="K8" s="64" t="inlineStr">
        <is>
          <t>Gate 1</t>
        </is>
      </c>
      <c r="L8" s="54">
        <f>IF(K8="","",IFERROR(INDEX('Governance and Gates'!$B$6:$B$11,MATCH(K8,'Governance and Gates'!$A$6:$A$11,0)),""))</f>
        <v/>
      </c>
      <c r="M8" s="64" t="inlineStr">
        <is>
          <t>Not Started</t>
        </is>
      </c>
      <c r="N8" s="64" t="inlineStr">
        <is>
          <t>High</t>
        </is>
      </c>
      <c r="O8" s="67" t="n">
        <v>0</v>
      </c>
      <c r="P8" s="53">
        <f>IF(M8="Completed","Green",IF(OR(F8="",G8=""),"Not Planned",IF(TODAY()&gt;G8,"Red",IF(TODAY()+14&gt;G8,"Amber","Green"))))</f>
        <v/>
      </c>
    </row>
    <row r="9" ht="25.5" customHeight="1" s="37">
      <c r="A9" s="64" t="inlineStr">
        <is>
          <t>P1.4</t>
        </is>
      </c>
      <c r="B9" s="65" t="inlineStr">
        <is>
          <t>1. Initiation</t>
        </is>
      </c>
      <c r="C9" s="65" t="inlineStr">
        <is>
          <t>Confirm assessment method, scope conventions and evidence-request process</t>
        </is>
      </c>
      <c r="D9" s="65" t="inlineStr">
        <is>
          <t>Information Security Officer</t>
        </is>
      </c>
      <c r="E9" s="65" t="inlineStr">
        <is>
          <t>IT; OT; DPO; advisers</t>
        </is>
      </c>
      <c r="F9" s="66" t="n">
        <v>46300</v>
      </c>
      <c r="G9" s="66" t="n">
        <v>46311</v>
      </c>
      <c r="H9" s="53">
        <f>IF(OR(F9="",G9=""),"",ROUNDUP((G9-F9+1)/7,0))</f>
        <v/>
      </c>
      <c r="I9" s="65" t="inlineStr">
        <is>
          <t>P1.2</t>
        </is>
      </c>
      <c r="J9" s="65" t="inlineStr">
        <is>
          <t>Assessment method approved, including the handling of requirements operated centrally at HQ and the evidence-request process</t>
        </is>
      </c>
      <c r="K9" s="64" t="inlineStr">
        <is>
          <t>Gate 1</t>
        </is>
      </c>
      <c r="L9" s="54">
        <f>IF(K9="","",IFERROR(INDEX('Governance and Gates'!$B$6:$B$11,MATCH(K9,'Governance and Gates'!$A$6:$A$11,0)),""))</f>
        <v/>
      </c>
      <c r="M9" s="64" t="inlineStr">
        <is>
          <t>Not Started</t>
        </is>
      </c>
      <c r="N9" s="64" t="inlineStr">
        <is>
          <t>High</t>
        </is>
      </c>
      <c r="O9" s="67" t="n">
        <v>0</v>
      </c>
      <c r="P9" s="53">
        <f>IF(M9="Completed","Green",IF(OR(F9="",G9=""),"Not Planned",IF(TODAY()&gt;G9,"Red",IF(TODAY()+14&gt;G9,"Amber","Green"))))</f>
        <v/>
      </c>
    </row>
    <row r="10" ht="25.5" customHeight="1" s="37">
      <c r="A10" s="64" t="inlineStr">
        <is>
          <t>P1.5</t>
        </is>
      </c>
      <c r="B10" s="65" t="inlineStr">
        <is>
          <t>1. Initiation</t>
        </is>
      </c>
      <c r="C10" s="65" t="inlineStr">
        <is>
          <t>Confirm assessment benchmark, chapter target levels and scoring model</t>
        </is>
      </c>
      <c r="D10" s="65" t="inlineStr">
        <is>
          <t>Information Security Officer</t>
        </is>
      </c>
      <c r="E10" s="65" t="inlineStr">
        <is>
          <t>Management Board; IT Coordinator; DE Adviser</t>
        </is>
      </c>
      <c r="F10" s="66" t="n">
        <v>46300</v>
      </c>
      <c r="G10" s="66" t="n">
        <v>46311</v>
      </c>
      <c r="H10" s="53">
        <f>IF(OR(F10="",G10=""),"",ROUNDUP((G10-F10+1)/7,0))</f>
        <v/>
      </c>
      <c r="I10" s="65" t="inlineStr">
        <is>
          <t>P1.2</t>
        </is>
      </c>
      <c r="J10" s="65" t="inlineStr">
        <is>
          <t>Management Board confirms Implementing Regulation (EU) 2024/2690 as the applied assessment benchmark; chapter target levels and the scoring model are approved and recorded</t>
        </is>
      </c>
      <c r="K10" s="64" t="inlineStr">
        <is>
          <t>Gate 1</t>
        </is>
      </c>
      <c r="L10" s="54">
        <f>IF(K10="","",IFERROR(INDEX('Governance and Gates'!$B$6:$B$11,MATCH(K10,'Governance and Gates'!$A$6:$A$11,0)),""))</f>
        <v/>
      </c>
      <c r="M10" s="64" t="inlineStr">
        <is>
          <t>Not Started</t>
        </is>
      </c>
      <c r="N10" s="64" t="inlineStr">
        <is>
          <t>High</t>
        </is>
      </c>
      <c r="O10" s="67" t="n">
        <v>0</v>
      </c>
      <c r="P10" s="53">
        <f>IF(M10="Completed","Green",IF(OR(F10="",G10=""),"Not Planned",IF(TODAY()&gt;G10,"Red",IF(TODAY()+14&gt;G10,"Amber","Green"))))</f>
        <v/>
      </c>
    </row>
    <row r="11" ht="25.5" customHeight="1" s="37">
      <c r="A11" s="64" t="inlineStr">
        <is>
          <t>P2.1</t>
        </is>
      </c>
      <c r="B11" s="65" t="inlineStr">
        <is>
          <t>2. Assessment Preparation</t>
        </is>
      </c>
      <c r="C11" s="65" t="inlineStr">
        <is>
          <t>Populate entity master data, contacts, applicability and central-HQ scope</t>
        </is>
      </c>
      <c r="D11" s="65" t="inlineStr">
        <is>
          <t>Information Security Officer</t>
        </is>
      </c>
      <c r="E11" s="65" t="inlineStr">
        <is>
          <t>Local Contacts; HR; IT</t>
        </is>
      </c>
      <c r="F11" s="66" t="n">
        <v>46307</v>
      </c>
      <c r="G11" s="66" t="n">
        <v>46325</v>
      </c>
      <c r="H11" s="53">
        <f>IF(OR(F11="",G11=""),"",ROUNDUP((G11-F11+1)/7,0))</f>
        <v/>
      </c>
      <c r="I11" s="65" t="inlineStr">
        <is>
          <t>P1.2</t>
        </is>
      </c>
      <c r="J11" s="65" t="inlineStr">
        <is>
          <t>Entity master data maintained in the GAP workbook; requirements operated centrally at HQ pre-scoped for each subsidiary</t>
        </is>
      </c>
      <c r="K11" s="64" t="n"/>
      <c r="L11" s="54">
        <f>IF(K11="","",IFERROR(INDEX('Governance and Gates'!$B$6:$B$11,MATCH(K11,'Governance and Gates'!$A$6:$A$11,0)),""))</f>
        <v/>
      </c>
      <c r="M11" s="64" t="inlineStr">
        <is>
          <t>Not Started</t>
        </is>
      </c>
      <c r="N11" s="64" t="inlineStr">
        <is>
          <t>Medium</t>
        </is>
      </c>
      <c r="O11" s="67" t="n">
        <v>0</v>
      </c>
      <c r="P11" s="53">
        <f>IF(M11="Completed","Green",IF(OR(F11="",G11=""),"Not Planned",IF(TODAY()&gt;G11,"Red",IF(TODAY()+14&gt;G11,"Amber","Green"))))</f>
        <v/>
      </c>
    </row>
    <row r="12" ht="25.5" customHeight="1" s="37">
      <c r="A12" s="64" t="inlineStr">
        <is>
          <t>P2.2</t>
        </is>
      </c>
      <c r="B12" s="65" t="inlineStr">
        <is>
          <t>2. Assessment Preparation</t>
        </is>
      </c>
      <c r="C12" s="65" t="inlineStr">
        <is>
          <t>Issue evidence and interview request for every entity</t>
        </is>
      </c>
      <c r="D12" s="65" t="inlineStr">
        <is>
          <t>Information Security Officer</t>
        </is>
      </c>
      <c r="E12" s="65" t="inlineStr">
        <is>
          <t>Central IT; Local IT; MSP+IT; OT; HR; Procurement; DPO; Advisers; Local Contact</t>
        </is>
      </c>
      <c r="F12" s="66" t="n">
        <v>46314</v>
      </c>
      <c r="G12" s="66" t="n">
        <v>46339</v>
      </c>
      <c r="H12" s="53">
        <f>IF(OR(F12="",G12=""),"",ROUNDUP((G12-F12+1)/7,0))</f>
        <v/>
      </c>
      <c r="I12" s="65" t="inlineStr">
        <is>
          <t>P1.4</t>
        </is>
      </c>
      <c r="J12" s="65" t="inlineStr">
        <is>
          <t>Evidence request issued and interview participants confirmed</t>
        </is>
      </c>
      <c r="K12" s="64" t="n"/>
      <c r="L12" s="54">
        <f>IF(K12="","",IFERROR(INDEX('Governance and Gates'!$B$6:$B$11,MATCH(K12,'Governance and Gates'!$A$6:$A$11,0)),""))</f>
        <v/>
      </c>
      <c r="M12" s="64" t="inlineStr">
        <is>
          <t>Not Started</t>
        </is>
      </c>
      <c r="N12" s="64" t="inlineStr">
        <is>
          <t>High</t>
        </is>
      </c>
      <c r="O12" s="67" t="n">
        <v>0</v>
      </c>
      <c r="P12" s="53">
        <f>IF(M12="Completed","Green",IF(OR(F12="",G12=""),"Not Planned",IF(TODAY()&gt;G12,"Red",IF(TODAY()+14&gt;G12,"Amber","Green"))))</f>
        <v/>
      </c>
    </row>
    <row r="13" ht="25.5" customHeight="1" s="37">
      <c r="A13" s="64" t="inlineStr">
        <is>
          <t>P3.1</t>
        </is>
      </c>
      <c r="B13" s="65" t="inlineStr">
        <is>
          <t>3. GAP Assessments</t>
        </is>
      </c>
      <c r="C13" s="65" t="inlineStr">
        <is>
          <t>Conduct remote assessment for every entity (174 requirements)</t>
        </is>
      </c>
      <c r="D13" s="65" t="inlineStr">
        <is>
          <t>Information Security Officer</t>
        </is>
      </c>
      <c r="E13" s="65" t="inlineStr">
        <is>
          <t>Central IT; Local IT; MSP+IT; OT; HR; Procurement; DPO; Advisers; Local Contact</t>
        </is>
      </c>
      <c r="F13" s="66" t="n">
        <v>46328</v>
      </c>
      <c r="G13" s="66" t="n">
        <v>46430</v>
      </c>
      <c r="H13" s="53">
        <f>IF(OR(F13="",G13=""),"",ROUNDUP((G13-F13+1)/7,0))</f>
        <v/>
      </c>
      <c r="I13" s="65" t="inlineStr">
        <is>
          <t>P2.2</t>
        </is>
      </c>
      <c r="J13" s="65" t="inlineStr">
        <is>
          <t>Questionnaire completed; initial gaps and evidence recorded</t>
        </is>
      </c>
      <c r="K13" s="64" t="n"/>
      <c r="L13" s="54">
        <f>IF(K13="","",IFERROR(INDEX('Governance and Gates'!$B$6:$B$11,MATCH(K13,'Governance and Gates'!$A$6:$A$11,0)),""))</f>
        <v/>
      </c>
      <c r="M13" s="64" t="inlineStr">
        <is>
          <t>Not Started</t>
        </is>
      </c>
      <c r="N13" s="64" t="inlineStr">
        <is>
          <t>High</t>
        </is>
      </c>
      <c r="O13" s="67" t="n">
        <v>0</v>
      </c>
      <c r="P13" s="53">
        <f>IF(M13="Completed","Green",IF(OR(F13="",G13=""),"Not Planned",IF(TODAY()&gt;G13,"Red",IF(TODAY()+14&gt;G13,"Amber","Green"))))</f>
        <v/>
      </c>
    </row>
    <row r="14" ht="25.5" customHeight="1" s="37">
      <c r="A14" s="64" t="inlineStr">
        <is>
          <t>P3.2</t>
        </is>
      </c>
      <c r="B14" s="65" t="inlineStr">
        <is>
          <t>3. GAP Assessments</t>
        </is>
      </c>
      <c r="C14" s="65" t="inlineStr">
        <is>
          <t>Validate findings for every entity</t>
        </is>
      </c>
      <c r="D14" s="65" t="inlineStr">
        <is>
          <t>Information Security Officer</t>
        </is>
      </c>
      <c r="E14" s="65" t="inlineStr">
        <is>
          <t>Central IT; Local IT; MSP+IT; Advisers</t>
        </is>
      </c>
      <c r="F14" s="66" t="n">
        <v>46363</v>
      </c>
      <c r="G14" s="66" t="n">
        <v>46444</v>
      </c>
      <c r="H14" s="53">
        <f>IF(OR(F14="",G14=""),"",ROUNDUP((G14-F14+1)/7,0))</f>
        <v/>
      </c>
      <c r="I14" s="65" t="inlineStr">
        <is>
          <t>P3.1</t>
        </is>
      </c>
      <c r="J14" s="65" t="inlineStr">
        <is>
          <t>Findings factually validated</t>
        </is>
      </c>
      <c r="K14" s="64" t="n"/>
      <c r="L14" s="54">
        <f>IF(K14="","",IFERROR(INDEX('Governance and Gates'!$B$6:$B$11,MATCH(K14,'Governance and Gates'!$A$6:$A$11,0)),""))</f>
        <v/>
      </c>
      <c r="M14" s="64" t="inlineStr">
        <is>
          <t>Not Started</t>
        </is>
      </c>
      <c r="N14" s="64" t="inlineStr">
        <is>
          <t>High</t>
        </is>
      </c>
      <c r="O14" s="67" t="n">
        <v>0</v>
      </c>
      <c r="P14" s="53">
        <f>IF(M14="Completed","Green",IF(OR(F14="",G14=""),"Not Planned",IF(TODAY()&gt;G14,"Red",IF(TODAY()+14&gt;G14,"Amber","Green"))))</f>
        <v/>
      </c>
    </row>
    <row r="15" ht="25.5" customHeight="1" s="37">
      <c r="A15" s="64" t="inlineStr">
        <is>
          <t>P4.1</t>
        </is>
      </c>
      <c r="B15" s="65" t="inlineStr">
        <is>
          <t>4. Consolidation</t>
        </is>
      </c>
      <c r="C15" s="65" t="inlineStr">
        <is>
          <t>Consolidate validated findings across all entities</t>
        </is>
      </c>
      <c r="D15" s="65" t="inlineStr">
        <is>
          <t>Information Security Officer</t>
        </is>
      </c>
      <c r="E15" s="65" t="inlineStr">
        <is>
          <t>IT Coordinator; DPO</t>
        </is>
      </c>
      <c r="F15" s="66" t="n">
        <v>46447</v>
      </c>
      <c r="G15" s="66" t="n">
        <v>46465</v>
      </c>
      <c r="H15" s="53">
        <f>IF(OR(F15="",G15=""),"",ROUNDUP((G15-F15+1)/7,0))</f>
        <v/>
      </c>
      <c r="I15" s="65" t="inlineStr">
        <is>
          <t>P3.2</t>
        </is>
      </c>
      <c r="J15" s="65" t="inlineStr">
        <is>
          <t>Consolidated finding register available</t>
        </is>
      </c>
      <c r="K15" s="64" t="n"/>
      <c r="L15" s="54">
        <f>IF(K15="","",IFERROR(INDEX('Governance and Gates'!$B$6:$B$11,MATCH(K15,'Governance and Gates'!$A$6:$A$11,0)),""))</f>
        <v/>
      </c>
      <c r="M15" s="64" t="inlineStr">
        <is>
          <t>Not Started</t>
        </is>
      </c>
      <c r="N15" s="64" t="inlineStr">
        <is>
          <t>High</t>
        </is>
      </c>
      <c r="O15" s="67" t="n">
        <v>0</v>
      </c>
      <c r="P15" s="53">
        <f>IF(M15="Completed","Green",IF(OR(F15="",G15=""),"Not Planned",IF(TODAY()&gt;G15,"Red",IF(TODAY()+14&gt;G15,"Amber","Green"))))</f>
        <v/>
      </c>
    </row>
    <row r="16" ht="23.85" customHeight="1" s="37">
      <c r="A16" s="64" t="inlineStr">
        <is>
          <t>P4.2</t>
        </is>
      </c>
      <c r="B16" s="65" t="inlineStr">
        <is>
          <t>4. Consolidation</t>
        </is>
      </c>
      <c r="C16" s="65" t="inlineStr">
        <is>
          <t>Identify common HQ controls and entity-specific gaps</t>
        </is>
      </c>
      <c r="D16" s="65" t="inlineStr">
        <is>
          <t>Information Security Officer</t>
        </is>
      </c>
      <c r="E16" s="65" t="inlineStr">
        <is>
          <t>Central IT; Local IT; MSP+IT; Advisers</t>
        </is>
      </c>
      <c r="F16" s="66" t="n">
        <v>46454</v>
      </c>
      <c r="G16" s="66" t="n">
        <v>46472</v>
      </c>
      <c r="H16" s="53">
        <f>IF(OR(F16="",G16=""),"",ROUNDUP((G16-F16+1)/7,0))</f>
        <v/>
      </c>
      <c r="I16" s="65" t="inlineStr">
        <is>
          <t>P4.1</t>
        </is>
      </c>
      <c r="J16" s="65" t="inlineStr">
        <is>
          <t>Findings grouped into central and local treatment paths</t>
        </is>
      </c>
      <c r="K16" s="64" t="n"/>
      <c r="L16" s="54">
        <f>IF(K16="","",IFERROR(INDEX('Governance and Gates'!$B$6:$B$11,MATCH(K16,'Governance and Gates'!$A$6:$A$11,0)),""))</f>
        <v/>
      </c>
      <c r="M16" s="64" t="inlineStr">
        <is>
          <t>Not Started</t>
        </is>
      </c>
      <c r="N16" s="64" t="inlineStr">
        <is>
          <t>High</t>
        </is>
      </c>
      <c r="O16" s="67" t="n">
        <v>0</v>
      </c>
      <c r="P16" s="53">
        <f>IF(M16="Completed","Green",IF(OR(F16="",G16=""),"Not Planned",IF(TODAY()&gt;G16,"Red",IF(TODAY()+14&gt;G16,"Amber","Green"))))</f>
        <v/>
      </c>
    </row>
    <row r="17" ht="25.5" customHeight="1" s="37">
      <c r="A17" s="64" t="inlineStr">
        <is>
          <t>P4.3</t>
        </is>
      </c>
      <c r="B17" s="65" t="inlineStr">
        <is>
          <t>4. Consolidation</t>
        </is>
      </c>
      <c r="C17" s="65" t="inlineStr">
        <is>
          <t>Define proposed work packages and acceptance criteria</t>
        </is>
      </c>
      <c r="D17" s="65" t="inlineStr">
        <is>
          <t>Information Security Officer</t>
        </is>
      </c>
      <c r="E17" s="65" t="inlineStr">
        <is>
          <t>Work-Package Owners</t>
        </is>
      </c>
      <c r="F17" s="66" t="n">
        <v>46468</v>
      </c>
      <c r="G17" s="66" t="n">
        <v>46486</v>
      </c>
      <c r="H17" s="53">
        <f>IF(OR(F17="",G17=""),"",ROUNDUP((G17-F17+1)/7,0))</f>
        <v/>
      </c>
      <c r="I17" s="65" t="inlineStr">
        <is>
          <t>P4.2</t>
        </is>
      </c>
      <c r="J17" s="65" t="inlineStr">
        <is>
          <t>Proposed portfolio with owners and acceptance criteria</t>
        </is>
      </c>
      <c r="K17" s="64" t="n"/>
      <c r="L17" s="54">
        <f>IF(K17="","",IFERROR(INDEX('Governance and Gates'!$B$6:$B$11,MATCH(K17,'Governance and Gates'!$A$6:$A$11,0)),""))</f>
        <v/>
      </c>
      <c r="M17" s="64" t="inlineStr">
        <is>
          <t>Not Started</t>
        </is>
      </c>
      <c r="N17" s="64" t="inlineStr">
        <is>
          <t>High</t>
        </is>
      </c>
      <c r="O17" s="67" t="n">
        <v>0</v>
      </c>
      <c r="P17" s="53">
        <f>IF(M17="Completed","Green",IF(OR(F17="",G17=""),"Not Planned",IF(TODAY()&gt;G17,"Red",IF(TODAY()+14&gt;G17,"Amber","Green"))))</f>
        <v/>
      </c>
    </row>
    <row r="18" ht="25.5" customHeight="1" s="37">
      <c r="A18" s="64" t="inlineStr">
        <is>
          <t>P4.4</t>
        </is>
      </c>
      <c r="B18" s="65" t="inlineStr">
        <is>
          <t>4. Consolidation</t>
        </is>
      </c>
      <c r="C18" s="65" t="inlineStr">
        <is>
          <t>Prioritise portfolio using High, Medium and Low ratings</t>
        </is>
      </c>
      <c r="D18" s="65" t="inlineStr">
        <is>
          <t>Information Security Officer</t>
        </is>
      </c>
      <c r="E18" s="65" t="inlineStr">
        <is>
          <t>IT Coordinator; DPO; Work-Package Owners</t>
        </is>
      </c>
      <c r="F18" s="66" t="n">
        <v>46483</v>
      </c>
      <c r="G18" s="66" t="n">
        <v>46493</v>
      </c>
      <c r="H18" s="53">
        <f>IF(OR(F18="",G18=""),"",ROUNDUP((G18-F18+1)/7,0))</f>
        <v/>
      </c>
      <c r="I18" s="65" t="inlineStr">
        <is>
          <t>P4.3</t>
        </is>
      </c>
      <c r="J18" s="65" t="inlineStr">
        <is>
          <t>Prioritised work-package portfolio</t>
        </is>
      </c>
      <c r="K18" s="64" t="n"/>
      <c r="L18" s="54">
        <f>IF(K18="","",IFERROR(INDEX('Governance and Gates'!$B$6:$B$11,MATCH(K18,'Governance and Gates'!$A$6:$A$11,0)),""))</f>
        <v/>
      </c>
      <c r="M18" s="64" t="inlineStr">
        <is>
          <t>Not Started</t>
        </is>
      </c>
      <c r="N18" s="64" t="inlineStr">
        <is>
          <t>High</t>
        </is>
      </c>
      <c r="O18" s="67" t="n">
        <v>0</v>
      </c>
      <c r="P18" s="53">
        <f>IF(M18="Completed","Green",IF(OR(F18="",G18=""),"Not Planned",IF(TODAY()&gt;G18,"Red",IF(TODAY()+14&gt;G18,"Amber","Green"))))</f>
        <v/>
      </c>
    </row>
    <row r="19" ht="25.5" customHeight="1" s="37">
      <c r="A19" s="64" t="inlineStr">
        <is>
          <t>P4.5</t>
        </is>
      </c>
      <c r="B19" s="65" t="inlineStr">
        <is>
          <t>4. Consolidation</t>
        </is>
      </c>
      <c r="C19" s="65" t="inlineStr">
        <is>
          <t>Present findings and recommendations to Management Board</t>
        </is>
      </c>
      <c r="D19" s="65" t="inlineStr">
        <is>
          <t>Information Security Officer</t>
        </is>
      </c>
      <c r="E19" s="65" t="inlineStr">
        <is>
          <t>IT Coordinator; DPO</t>
        </is>
      </c>
      <c r="F19" s="66" t="n">
        <v>46496</v>
      </c>
      <c r="G19" s="66" t="n">
        <v>46507</v>
      </c>
      <c r="H19" s="53">
        <f>IF(OR(F19="",G19=""),"",ROUNDUP((G19-F19+1)/7,0))</f>
        <v/>
      </c>
      <c r="I19" s="65" t="inlineStr">
        <is>
          <t>P4.4</t>
        </is>
      </c>
      <c r="J19" s="65" t="inlineStr">
        <is>
          <t>Findings, recommendations and resource needs presented</t>
        </is>
      </c>
      <c r="K19" s="64" t="inlineStr">
        <is>
          <t>Gate 2</t>
        </is>
      </c>
      <c r="L19" s="54">
        <f>IF(K19="","",IFERROR(INDEX('Governance and Gates'!$B$6:$B$11,MATCH(K19,'Governance and Gates'!$A$6:$A$11,0)),""))</f>
        <v/>
      </c>
      <c r="M19" s="64" t="inlineStr">
        <is>
          <t>Not Started</t>
        </is>
      </c>
      <c r="N19" s="64" t="inlineStr">
        <is>
          <t>High</t>
        </is>
      </c>
      <c r="O19" s="67" t="n">
        <v>0</v>
      </c>
      <c r="P19" s="53">
        <f>IF(M19="Completed","Green",IF(OR(F19="",G19=""),"Not Planned",IF(TODAY()&gt;G19,"Red",IF(TODAY()+14&gt;G19,"Amber","Green"))))</f>
        <v/>
      </c>
    </row>
    <row r="20" ht="23.85" customHeight="1" s="37">
      <c r="A20" s="64" t="inlineStr">
        <is>
          <t>P4.6</t>
        </is>
      </c>
      <c r="B20" s="65" t="inlineStr">
        <is>
          <t>4. Consolidation</t>
        </is>
      </c>
      <c r="C20" s="65" t="inlineStr">
        <is>
          <t>Approve scope, priorities, owners and risk-treatment approach</t>
        </is>
      </c>
      <c r="D20" s="65" t="inlineStr">
        <is>
          <t>Management Board</t>
        </is>
      </c>
      <c r="E20" s="65" t="inlineStr">
        <is>
          <t>Information Security Officer; IT Coordinator; DPO</t>
        </is>
      </c>
      <c r="F20" s="66" t="n">
        <v>46510</v>
      </c>
      <c r="G20" s="66" t="n">
        <v>46521</v>
      </c>
      <c r="H20" s="53">
        <f>IF(OR(F20="",G20=""),"",ROUNDUP((G20-F20+1)/7,0))</f>
        <v/>
      </c>
      <c r="I20" s="65" t="inlineStr">
        <is>
          <t>P4.5</t>
        </is>
      </c>
      <c r="J20" s="65" t="inlineStr">
        <is>
          <t>Approved remediation portfolio and authorised resources</t>
        </is>
      </c>
      <c r="K20" s="64" t="inlineStr">
        <is>
          <t>Gate 3</t>
        </is>
      </c>
      <c r="L20" s="54">
        <f>IF(K20="","",IFERROR(INDEX('Governance and Gates'!$B$6:$B$11,MATCH(K20,'Governance and Gates'!$A$6:$A$11,0)),""))</f>
        <v/>
      </c>
      <c r="M20" s="64" t="inlineStr">
        <is>
          <t>Not Started</t>
        </is>
      </c>
      <c r="N20" s="64" t="inlineStr">
        <is>
          <t>High</t>
        </is>
      </c>
      <c r="O20" s="67" t="n">
        <v>0</v>
      </c>
      <c r="P20" s="53">
        <f>IF(M20="Completed","Green",IF(OR(F20="",G20=""),"Not Planned",IF(TODAY()&gt;G20,"Red",IF(TODAY()+14&gt;G20,"Amber","Green"))))</f>
        <v/>
      </c>
    </row>
    <row r="21" ht="25.5" customHeight="1" s="37">
      <c r="A21" s="64" t="inlineStr">
        <is>
          <t>P5.1</t>
        </is>
      </c>
      <c r="B21" s="65" t="inlineStr">
        <is>
          <t>5. Remediation</t>
        </is>
      </c>
      <c r="C21" s="65" t="inlineStr">
        <is>
          <t>Launch approved High-priority work packages</t>
        </is>
      </c>
      <c r="D21" s="65" t="inlineStr">
        <is>
          <t>Assigned Work-Package Owners</t>
        </is>
      </c>
      <c r="E21" s="65" t="inlineStr">
        <is>
          <t>Relevant project roles</t>
        </is>
      </c>
      <c r="F21" s="66" t="n">
        <v>46524</v>
      </c>
      <c r="G21" s="66" t="n">
        <v>46535</v>
      </c>
      <c r="H21" s="53">
        <f>IF(OR(F21="",G21=""),"",ROUNDUP((G21-F21+1)/7,0))</f>
        <v/>
      </c>
      <c r="I21" s="65" t="inlineStr">
        <is>
          <t>P4.6</t>
        </is>
      </c>
      <c r="J21" s="65" t="inlineStr">
        <is>
          <t>High-priority packages initiated</t>
        </is>
      </c>
      <c r="K21" s="64" t="n"/>
      <c r="L21" s="54">
        <f>IF(K21="","",IFERROR(INDEX('Governance and Gates'!$B$6:$B$11,MATCH(K21,'Governance and Gates'!$A$6:$A$11,0)),""))</f>
        <v/>
      </c>
      <c r="M21" s="64" t="inlineStr">
        <is>
          <t>Not Started</t>
        </is>
      </c>
      <c r="N21" s="64" t="inlineStr">
        <is>
          <t>High</t>
        </is>
      </c>
      <c r="O21" s="67" t="n">
        <v>0</v>
      </c>
      <c r="P21" s="53">
        <f>IF(M21="Completed","Green",IF(OR(F21="",G21=""),"Not Planned",IF(TODAY()&gt;G21,"Red",IF(TODAY()+14&gt;G21,"Amber","Green"))))</f>
        <v/>
      </c>
    </row>
    <row r="22" ht="23.85" customHeight="1" s="37">
      <c r="A22" s="64" t="inlineStr">
        <is>
          <t>P5.2</t>
        </is>
      </c>
      <c r="B22" s="65" t="inlineStr">
        <is>
          <t>5. Remediation</t>
        </is>
      </c>
      <c r="C22" s="65" t="inlineStr">
        <is>
          <t>Implement High-priority and cross-entity HQ measures</t>
        </is>
      </c>
      <c r="D22" s="65" t="inlineStr">
        <is>
          <t>Assigned Work-Package Owners</t>
        </is>
      </c>
      <c r="E22" s="65" t="inlineStr">
        <is>
          <t>Central IT; Local IT; OT; HR; Procurement; DPO; MSP+IT</t>
        </is>
      </c>
      <c r="F22" s="66" t="n">
        <v>46531</v>
      </c>
      <c r="G22" s="66" t="n">
        <v>46630</v>
      </c>
      <c r="H22" s="53">
        <f>IF(OR(F22="",G22=""),"",ROUNDUP((G22-F22+1)/7,0))</f>
        <v/>
      </c>
      <c r="I22" s="65" t="inlineStr">
        <is>
          <t>P5.1</t>
        </is>
      </c>
      <c r="J22" s="65" t="inlineStr">
        <is>
          <t>Approved High-priority measures completed or escalated</t>
        </is>
      </c>
      <c r="K22" s="64" t="inlineStr">
        <is>
          <t>Gate 4</t>
        </is>
      </c>
      <c r="L22" s="54">
        <f>IF(K22="","",IFERROR(INDEX('Governance and Gates'!$B$6:$B$11,MATCH(K22,'Governance and Gates'!$A$6:$A$11,0)),""))</f>
        <v/>
      </c>
      <c r="M22" s="64" t="inlineStr">
        <is>
          <t>Not Started</t>
        </is>
      </c>
      <c r="N22" s="64" t="inlineStr">
        <is>
          <t>High</t>
        </is>
      </c>
      <c r="O22" s="67" t="n">
        <v>0</v>
      </c>
      <c r="P22" s="53">
        <f>IF(M22="Completed","Green",IF(OR(F22="",G22=""),"Not Planned",IF(TODAY()&gt;G22,"Red",IF(TODAY()+14&gt;G22,"Amber","Green"))))</f>
        <v/>
      </c>
    </row>
    <row r="23" ht="25.5" customHeight="1" s="37">
      <c r="A23" s="64" t="inlineStr">
        <is>
          <t>P5.3</t>
        </is>
      </c>
      <c r="B23" s="65" t="inlineStr">
        <is>
          <t>5. Remediation</t>
        </is>
      </c>
      <c r="C23" s="65" t="inlineStr">
        <is>
          <t>Implement Medium-priority measures</t>
        </is>
      </c>
      <c r="D23" s="65" t="inlineStr">
        <is>
          <t>Assigned Work-Package Owners</t>
        </is>
      </c>
      <c r="E23" s="65" t="inlineStr">
        <is>
          <t>Relevant project roles</t>
        </is>
      </c>
      <c r="F23" s="66" t="n">
        <v>46559</v>
      </c>
      <c r="G23" s="66" t="n">
        <v>46660</v>
      </c>
      <c r="H23" s="53">
        <f>IF(OR(F23="",G23=""),"",ROUNDUP((G23-F23+1)/7,0))</f>
        <v/>
      </c>
      <c r="I23" s="65" t="inlineStr">
        <is>
          <t>P5.1</t>
        </is>
      </c>
      <c r="J23" s="65" t="inlineStr">
        <is>
          <t>Approved Medium-priority measures completed or escalated</t>
        </is>
      </c>
      <c r="K23" s="64" t="n"/>
      <c r="L23" s="54">
        <f>IF(K23="","",IFERROR(INDEX('Governance and Gates'!$B$6:$B$11,MATCH(K23,'Governance and Gates'!$A$6:$A$11,0)),""))</f>
        <v/>
      </c>
      <c r="M23" s="64" t="inlineStr">
        <is>
          <t>Not Started</t>
        </is>
      </c>
      <c r="N23" s="64" t="inlineStr">
        <is>
          <t>Medium</t>
        </is>
      </c>
      <c r="O23" s="67" t="n">
        <v>0</v>
      </c>
      <c r="P23" s="53">
        <f>IF(M23="Completed","Green",IF(OR(F23="",G23=""),"Not Planned",IF(TODAY()&gt;G23,"Red",IF(TODAY()+14&gt;G23,"Amber","Green"))))</f>
        <v/>
      </c>
    </row>
    <row r="24" ht="25.5" customHeight="1" s="37">
      <c r="A24" s="64" t="inlineStr">
        <is>
          <t>P5.4</t>
        </is>
      </c>
      <c r="B24" s="65" t="inlineStr">
        <is>
          <t>5. Remediation</t>
        </is>
      </c>
      <c r="C24" s="65" t="inlineStr">
        <is>
          <t>Implement Low-priority measures required for project completion</t>
        </is>
      </c>
      <c r="D24" s="65" t="inlineStr">
        <is>
          <t>Assigned Work-Package Owners</t>
        </is>
      </c>
      <c r="E24" s="65" t="inlineStr">
        <is>
          <t>Relevant project roles</t>
        </is>
      </c>
      <c r="F24" s="66" t="n">
        <v>46587</v>
      </c>
      <c r="G24" s="66" t="n">
        <v>46675</v>
      </c>
      <c r="H24" s="53">
        <f>IF(OR(F24="",G24=""),"",ROUNDUP((G24-F24+1)/7,0))</f>
        <v/>
      </c>
      <c r="I24" s="65" t="inlineStr">
        <is>
          <t>P5.1</t>
        </is>
      </c>
      <c r="J24" s="65" t="inlineStr">
        <is>
          <t>Required Low-priority measures completed, deferred or accepted</t>
        </is>
      </c>
      <c r="K24" s="64" t="n"/>
      <c r="L24" s="54">
        <f>IF(K24="","",IFERROR(INDEX('Governance and Gates'!$B$6:$B$11,MATCH(K24,'Governance and Gates'!$A$6:$A$11,0)),""))</f>
        <v/>
      </c>
      <c r="M24" s="64" t="inlineStr">
        <is>
          <t>Not Started</t>
        </is>
      </c>
      <c r="N24" s="64" t="inlineStr">
        <is>
          <t>Low</t>
        </is>
      </c>
      <c r="O24" s="67" t="n">
        <v>0</v>
      </c>
      <c r="P24" s="53">
        <f>IF(M24="Completed","Green",IF(OR(F24="",G24=""),"Not Planned",IF(TODAY()&gt;G24,"Red",IF(TODAY()+14&gt;G24,"Amber","Green"))))</f>
        <v/>
      </c>
    </row>
    <row r="25" ht="25.5" customHeight="1" s="37">
      <c r="A25" s="64" t="inlineStr">
        <is>
          <t>P5.5</t>
        </is>
      </c>
      <c r="B25" s="65" t="inlineStr">
        <is>
          <t>5. Remediation</t>
        </is>
      </c>
      <c r="C25" s="65" t="inlineStr">
        <is>
          <t>Maintain implementation evidence and update GAP responses</t>
        </is>
      </c>
      <c r="D25" s="65" t="inlineStr">
        <is>
          <t>Information Security Officer</t>
        </is>
      </c>
      <c r="E25" s="65" t="inlineStr">
        <is>
          <t>Work-Package Owners</t>
        </is>
      </c>
      <c r="F25" s="66" t="n">
        <v>46531</v>
      </c>
      <c r="G25" s="66" t="n">
        <v>46675</v>
      </c>
      <c r="H25" s="53">
        <f>IF(OR(F25="",G25=""),"",ROUNDUP((G25-F25+1)/7,0))</f>
        <v/>
      </c>
      <c r="I25" s="65" t="inlineStr">
        <is>
          <t>P5.1</t>
        </is>
      </c>
      <c r="J25" s="65" t="inlineStr">
        <is>
          <t>GAP workbook and evidence references kept current</t>
        </is>
      </c>
      <c r="K25" s="64" t="n"/>
      <c r="L25" s="54">
        <f>IF(K25="","",IFERROR(INDEX('Governance and Gates'!$B$6:$B$11,MATCH(K25,'Governance and Gates'!$A$6:$A$11,0)),""))</f>
        <v/>
      </c>
      <c r="M25" s="64" t="inlineStr">
        <is>
          <t>Not Started</t>
        </is>
      </c>
      <c r="N25" s="64" t="inlineStr">
        <is>
          <t>High</t>
        </is>
      </c>
      <c r="O25" s="67" t="n">
        <v>0</v>
      </c>
      <c r="P25" s="53">
        <f>IF(M25="Completed","Green",IF(OR(F25="",G25=""),"Not Planned",IF(TODAY()&gt;G25,"Red",IF(TODAY()+14&gt;G25,"Amber","Green"))))</f>
        <v/>
      </c>
    </row>
    <row r="26" ht="25.5" customHeight="1" s="37">
      <c r="A26" s="64" t="inlineStr">
        <is>
          <t>P5.6</t>
        </is>
      </c>
      <c r="B26" s="65" t="inlineStr">
        <is>
          <t>5. Remediation</t>
        </is>
      </c>
      <c r="C26" s="65" t="inlineStr">
        <is>
          <t>Escalate blocked measures and unresolved resource decisions</t>
        </is>
      </c>
      <c r="D26" s="65" t="inlineStr">
        <is>
          <t>Information Security Officer</t>
        </is>
      </c>
      <c r="E26" s="65" t="inlineStr">
        <is>
          <t>IT Coordinator; DPO; Management Board</t>
        </is>
      </c>
      <c r="F26" s="66" t="n">
        <v>46531</v>
      </c>
      <c r="G26" s="66" t="n">
        <v>46675</v>
      </c>
      <c r="H26" s="53">
        <f>IF(OR(F26="",G26=""),"",ROUNDUP((G26-F26+1)/7,0))</f>
        <v/>
      </c>
      <c r="I26" s="65" t="inlineStr">
        <is>
          <t>P5.1</t>
        </is>
      </c>
      <c r="J26" s="65" t="inlineStr">
        <is>
          <t>Material blockers resolved or formally accepted</t>
        </is>
      </c>
      <c r="K26" s="64" t="inlineStr">
        <is>
          <t>Gate 5</t>
        </is>
      </c>
      <c r="L26" s="54">
        <f>IF(K26="","",IFERROR(INDEX('Governance and Gates'!$B$6:$B$11,MATCH(K26,'Governance and Gates'!$A$6:$A$11,0)),""))</f>
        <v/>
      </c>
      <c r="M26" s="64" t="inlineStr">
        <is>
          <t>Not Started</t>
        </is>
      </c>
      <c r="N26" s="64" t="inlineStr">
        <is>
          <t>High</t>
        </is>
      </c>
      <c r="O26" s="67" t="n">
        <v>0</v>
      </c>
      <c r="P26" s="53">
        <f>IF(M26="Completed","Green",IF(OR(F26="",G26=""),"Not Planned",IF(TODAY()&gt;G26,"Red",IF(TODAY()+14&gt;G26,"Amber","Green"))))</f>
        <v/>
      </c>
    </row>
    <row r="27" ht="25.5" customHeight="1" s="37">
      <c r="A27" s="64" t="inlineStr">
        <is>
          <t>P6.1</t>
        </is>
      </c>
      <c r="B27" s="65" t="inlineStr">
        <is>
          <t>6. Verification</t>
        </is>
      </c>
      <c r="C27" s="65" t="inlineStr">
        <is>
          <t>Review completion evidence against acceptance criteria</t>
        </is>
      </c>
      <c r="D27" s="65" t="inlineStr">
        <is>
          <t>Information Security Officer</t>
        </is>
      </c>
      <c r="E27" s="65" t="inlineStr">
        <is>
          <t>Work-Package Owners; Advisers</t>
        </is>
      </c>
      <c r="F27" s="66" t="n">
        <v>46631</v>
      </c>
      <c r="G27" s="66" t="n">
        <v>46682</v>
      </c>
      <c r="H27" s="53">
        <f>IF(OR(F27="",G27=""),"",ROUNDUP((G27-F27+1)/7,0))</f>
        <v/>
      </c>
      <c r="I27" s="65" t="inlineStr">
        <is>
          <t>P5.2; P5.3</t>
        </is>
      </c>
      <c r="J27" s="65" t="inlineStr">
        <is>
          <t>Evidence reviewed and remaining deficiencies recorded</t>
        </is>
      </c>
      <c r="K27" s="64" t="n"/>
      <c r="L27" s="54">
        <f>IF(K27="","",IFERROR(INDEX('Governance and Gates'!$B$6:$B$11,MATCH(K27,'Governance and Gates'!$A$6:$A$11,0)),""))</f>
        <v/>
      </c>
      <c r="M27" s="64" t="inlineStr">
        <is>
          <t>Not Started</t>
        </is>
      </c>
      <c r="N27" s="64" t="inlineStr">
        <is>
          <t>High</t>
        </is>
      </c>
      <c r="O27" s="67" t="n">
        <v>0</v>
      </c>
      <c r="P27" s="53">
        <f>IF(M27="Completed","Green",IF(OR(F27="",G27=""),"Not Planned",IF(TODAY()&gt;G27,"Red",IF(TODAY()+14&gt;G27,"Amber","Green"))))</f>
        <v/>
      </c>
    </row>
    <row r="28" ht="25.5" customHeight="1" s="37">
      <c r="A28" s="64" t="inlineStr">
        <is>
          <t>P6.2</t>
        </is>
      </c>
      <c r="B28" s="65" t="inlineStr">
        <is>
          <t>6. Verification</t>
        </is>
      </c>
      <c r="C28" s="65" t="inlineStr">
        <is>
          <t>Perform proportionate effectiveness checks</t>
        </is>
      </c>
      <c r="D28" s="65" t="inlineStr">
        <is>
          <t>Information Security Officer</t>
        </is>
      </c>
      <c r="E28" s="65" t="inlineStr">
        <is>
          <t>IT; OT; DPO; MSP+IT; Advisers</t>
        </is>
      </c>
      <c r="F28" s="66" t="n">
        <v>46657</v>
      </c>
      <c r="G28" s="66" t="n">
        <v>46689</v>
      </c>
      <c r="H28" s="53">
        <f>IF(OR(F28="",G28=""),"",ROUNDUP((G28-F28+1)/7,0))</f>
        <v/>
      </c>
      <c r="I28" s="65" t="inlineStr">
        <is>
          <t>P6.1</t>
        </is>
      </c>
      <c r="J28" s="65" t="inlineStr">
        <is>
          <t>Effectiveness status updated in GAP workbook</t>
        </is>
      </c>
      <c r="K28" s="64" t="n"/>
      <c r="L28" s="54">
        <f>IF(K28="","",IFERROR(INDEX('Governance and Gates'!$B$6:$B$11,MATCH(K28,'Governance and Gates'!$A$6:$A$11,0)),""))</f>
        <v/>
      </c>
      <c r="M28" s="64" t="inlineStr">
        <is>
          <t>Not Started</t>
        </is>
      </c>
      <c r="N28" s="64" t="inlineStr">
        <is>
          <t>High</t>
        </is>
      </c>
      <c r="O28" s="67" t="n">
        <v>0</v>
      </c>
      <c r="P28" s="53">
        <f>IF(M28="Completed","Green",IF(OR(F28="",G28=""),"Not Planned",IF(TODAY()&gt;G28,"Red",IF(TODAY()+14&gt;G28,"Amber","Green"))))</f>
        <v/>
      </c>
    </row>
    <row r="29" ht="25.5" customHeight="1" s="37">
      <c r="A29" s="64" t="inlineStr">
        <is>
          <t>P6.3</t>
        </is>
      </c>
      <c r="B29" s="65" t="inlineStr">
        <is>
          <t>6. Verification</t>
        </is>
      </c>
      <c r="C29" s="65" t="inlineStr">
        <is>
          <t>Obtain formal acceptance of any residual risks</t>
        </is>
      </c>
      <c r="D29" s="65" t="inlineStr">
        <is>
          <t>Management Board</t>
        </is>
      </c>
      <c r="E29" s="65" t="inlineStr">
        <is>
          <t>Information Security Officer; Risk Owners</t>
        </is>
      </c>
      <c r="F29" s="66" t="n">
        <v>46692</v>
      </c>
      <c r="G29" s="66" t="n">
        <v>46703</v>
      </c>
      <c r="H29" s="53">
        <f>IF(OR(F29="",G29=""),"",ROUNDUP((G29-F29+1)/7,0))</f>
        <v/>
      </c>
      <c r="I29" s="65" t="inlineStr">
        <is>
          <t>P6.1; P6.2</t>
        </is>
      </c>
      <c r="J29" s="65" t="inlineStr">
        <is>
          <t>Residual-risk decisions documented</t>
        </is>
      </c>
      <c r="K29" s="64" t="inlineStr">
        <is>
          <t>Gate 5</t>
        </is>
      </c>
      <c r="L29" s="54">
        <f>IF(K29="","",IFERROR(INDEX('Governance and Gates'!$B$6:$B$11,MATCH(K29,'Governance and Gates'!$A$6:$A$11,0)),""))</f>
        <v/>
      </c>
      <c r="M29" s="64" t="inlineStr">
        <is>
          <t>Not Started</t>
        </is>
      </c>
      <c r="N29" s="64" t="inlineStr">
        <is>
          <t>High</t>
        </is>
      </c>
      <c r="O29" s="67" t="n">
        <v>0</v>
      </c>
      <c r="P29" s="53">
        <f>IF(M29="Completed","Green",IF(OR(F29="",G29=""),"Not Planned",IF(TODAY()&gt;G29,"Red",IF(TODAY()+14&gt;G29,"Amber","Green"))))</f>
        <v/>
      </c>
    </row>
    <row r="30" ht="25.5" customHeight="1" s="37">
      <c r="A30" s="64" t="inlineStr">
        <is>
          <t>P6.4</t>
        </is>
      </c>
      <c r="B30" s="65" t="inlineStr">
        <is>
          <t>6. Verification</t>
        </is>
      </c>
      <c r="C30" s="65" t="inlineStr">
        <is>
          <t>Prepare project closure report and operational handover</t>
        </is>
      </c>
      <c r="D30" s="65" t="inlineStr">
        <is>
          <t>Information Security Officer</t>
        </is>
      </c>
      <c r="E30" s="65" t="inlineStr">
        <is>
          <t>IT Coordinator; DPO; Work-Package Owners</t>
        </is>
      </c>
      <c r="F30" s="66" t="n">
        <v>46699</v>
      </c>
      <c r="G30" s="66" t="n">
        <v>46710</v>
      </c>
      <c r="H30" s="53">
        <f>IF(OR(F30="",G30=""),"",ROUNDUP((G30-F30+1)/7,0))</f>
        <v/>
      </c>
      <c r="I30" s="65" t="inlineStr">
        <is>
          <t>P6.2; P6.3</t>
        </is>
      </c>
      <c r="J30" s="65" t="inlineStr">
        <is>
          <t>Closure report and ongoing control owners confirmed</t>
        </is>
      </c>
      <c r="K30" s="64" t="n"/>
      <c r="L30" s="54">
        <f>IF(K30="","",IFERROR(INDEX('Governance and Gates'!$B$6:$B$11,MATCH(K30,'Governance and Gates'!$A$6:$A$11,0)),""))</f>
        <v/>
      </c>
      <c r="M30" s="64" t="inlineStr">
        <is>
          <t>Not Started</t>
        </is>
      </c>
      <c r="N30" s="64" t="inlineStr">
        <is>
          <t>High</t>
        </is>
      </c>
      <c r="O30" s="67" t="n">
        <v>0</v>
      </c>
      <c r="P30" s="53">
        <f>IF(M30="Completed","Green",IF(OR(F30="",G30=""),"Not Planned",IF(TODAY()&gt;G30,"Red",IF(TODAY()+14&gt;G30,"Amber","Green"))))</f>
        <v/>
      </c>
    </row>
    <row r="31" ht="25.5" customHeight="1" s="37">
      <c r="A31" s="64" t="inlineStr">
        <is>
          <t>P6.5</t>
        </is>
      </c>
      <c r="B31" s="65" t="inlineStr">
        <is>
          <t>6. Verification</t>
        </is>
      </c>
      <c r="C31" s="65" t="inlineStr">
        <is>
          <t>Management review and formal project closure</t>
        </is>
      </c>
      <c r="D31" s="65" t="inlineStr">
        <is>
          <t>Management Board</t>
        </is>
      </c>
      <c r="E31" s="65" t="inlineStr">
        <is>
          <t>Information Security Officer; Steering Committee</t>
        </is>
      </c>
      <c r="F31" s="66" t="n">
        <v>46713</v>
      </c>
      <c r="G31" s="66" t="n">
        <v>46721</v>
      </c>
      <c r="H31" s="53">
        <f>IF(OR(F31="",G31=""),"",ROUNDUP((G31-F31+1)/7,0))</f>
        <v/>
      </c>
      <c r="I31" s="65" t="inlineStr">
        <is>
          <t>P6.4</t>
        </is>
      </c>
      <c r="J31" s="65" t="inlineStr">
        <is>
          <t>Project closure approved; remaining activities transferred to operations</t>
        </is>
      </c>
      <c r="K31" s="64" t="inlineStr">
        <is>
          <t>Gate 6</t>
        </is>
      </c>
      <c r="L31" s="54">
        <f>IF(K31="","",IFERROR(INDEX('Governance and Gates'!$B$6:$B$11,MATCH(K31,'Governance and Gates'!$A$6:$A$11,0)),""))</f>
        <v/>
      </c>
      <c r="M31" s="64" t="inlineStr">
        <is>
          <t>Not Started</t>
        </is>
      </c>
      <c r="N31" s="64" t="inlineStr">
        <is>
          <t>High</t>
        </is>
      </c>
      <c r="O31" s="67" t="n">
        <v>0</v>
      </c>
      <c r="P31" s="53">
        <f>IF(M31="Completed","Green",IF(OR(F31="",G31=""),"Not Planned",IF(TODAY()&gt;G31,"Red",IF(TODAY()+14&gt;G31,"Amber","Green"))))</f>
        <v/>
      </c>
    </row>
    <row r="32" ht="25.5" customHeight="1" s="37">
      <c r="A32" s="64" t="n"/>
      <c r="B32" s="65" t="n"/>
      <c r="C32" s="65" t="n"/>
      <c r="D32" s="65" t="n"/>
      <c r="E32" s="65" t="n"/>
      <c r="F32" s="66" t="n"/>
      <c r="G32" s="66" t="n"/>
      <c r="H32" s="53">
        <f>IF(OR(F32="",G32=""),"",ROUNDUP((G32-F32+1)/7,0))</f>
        <v/>
      </c>
      <c r="I32" s="65" t="n"/>
      <c r="J32" s="65" t="n"/>
      <c r="K32" s="64" t="n"/>
      <c r="L32" s="54">
        <f>IF(K32="","",IFERROR(INDEX('Governance and Gates'!$B$6:$B$11,MATCH(K32,'Governance and Gates'!$A$6:$A$11,0)),""))</f>
        <v/>
      </c>
      <c r="M32" s="64" t="n"/>
      <c r="N32" s="64" t="n"/>
      <c r="O32" s="67" t="n"/>
      <c r="P32" s="53">
        <f>IF(M32="Completed","Green",IF(OR(F32="",G32=""),"Not Planned",IF(TODAY()&gt;G32,"Red",IF(TODAY()+14&gt;G32,"Amber","Green"))))</f>
        <v/>
      </c>
    </row>
    <row r="33" ht="25.5" customHeight="1" s="37">
      <c r="A33" s="64" t="n"/>
      <c r="B33" s="65" t="n"/>
      <c r="C33" s="65" t="n"/>
      <c r="D33" s="65" t="n"/>
      <c r="E33" s="65" t="n"/>
      <c r="F33" s="66" t="n"/>
      <c r="G33" s="66" t="n"/>
      <c r="H33" s="53">
        <f>IF(OR(F33="",G33=""),"",ROUNDUP((G33-F33+1)/7,0))</f>
        <v/>
      </c>
      <c r="I33" s="65" t="n"/>
      <c r="J33" s="65" t="n"/>
      <c r="K33" s="64" t="n"/>
      <c r="L33" s="54">
        <f>IF(K33="","",IFERROR(INDEX('Governance and Gates'!$B$6:$B$11,MATCH(K33,'Governance and Gates'!$A$6:$A$11,0)),""))</f>
        <v/>
      </c>
      <c r="M33" s="64" t="n"/>
      <c r="N33" s="64" t="n"/>
      <c r="O33" s="67" t="n"/>
      <c r="P33" s="53">
        <f>IF(M33="Completed","Green",IF(OR(F33="",G33=""),"Not Planned",IF(TODAY()&gt;G33,"Red",IF(TODAY()+14&gt;G33,"Amber","Green"))))</f>
        <v/>
      </c>
    </row>
    <row r="34" ht="25.5" customHeight="1" s="37">
      <c r="A34" s="64" t="n"/>
      <c r="B34" s="65" t="n"/>
      <c r="C34" s="65" t="n"/>
      <c r="D34" s="65" t="n"/>
      <c r="E34" s="65" t="n"/>
      <c r="F34" s="66" t="n"/>
      <c r="G34" s="66" t="n"/>
      <c r="H34" s="53">
        <f>IF(OR(F34="",G34=""),"",ROUNDUP((G34-F34+1)/7,0))</f>
        <v/>
      </c>
      <c r="I34" s="65" t="n"/>
      <c r="J34" s="65" t="n"/>
      <c r="K34" s="64" t="n"/>
      <c r="L34" s="54">
        <f>IF(K34="","",IFERROR(INDEX('Governance and Gates'!$B$6:$B$11,MATCH(K34,'Governance and Gates'!$A$6:$A$11,0)),""))</f>
        <v/>
      </c>
      <c r="M34" s="64" t="n"/>
      <c r="N34" s="64" t="n"/>
      <c r="O34" s="67" t="n"/>
      <c r="P34" s="53">
        <f>IF(M34="Completed","Green",IF(OR(F34="",G34=""),"Not Planned",IF(TODAY()&gt;G34,"Red",IF(TODAY()+14&gt;G34,"Amber","Green"))))</f>
        <v/>
      </c>
    </row>
    <row r="35" ht="25.5" customHeight="1" s="37">
      <c r="A35" s="64" t="n"/>
      <c r="B35" s="65" t="n"/>
      <c r="C35" s="65" t="n"/>
      <c r="D35" s="65" t="n"/>
      <c r="E35" s="65" t="n"/>
      <c r="F35" s="66" t="n"/>
      <c r="G35" s="66" t="n"/>
      <c r="H35" s="53">
        <f>IF(OR(F35="",G35=""),"",ROUNDUP((G35-F35+1)/7,0))</f>
        <v/>
      </c>
      <c r="I35" s="65" t="n"/>
      <c r="J35" s="65" t="n"/>
      <c r="K35" s="64" t="n"/>
      <c r="L35" s="54">
        <f>IF(K35="","",IFERROR(INDEX('Governance and Gates'!$B$6:$B$11,MATCH(K35,'Governance and Gates'!$A$6:$A$11,0)),""))</f>
        <v/>
      </c>
      <c r="M35" s="64" t="n"/>
      <c r="N35" s="64" t="n"/>
      <c r="O35" s="67" t="n"/>
      <c r="P35" s="53">
        <f>IF(M35="Completed","Green",IF(OR(F35="",G35=""),"Not Planned",IF(TODAY()&gt;G35,"Red",IF(TODAY()+14&gt;G35,"Amber","Green"))))</f>
        <v/>
      </c>
    </row>
    <row r="36" ht="23.85" customHeight="1" s="37">
      <c r="A36" s="64" t="n"/>
      <c r="B36" s="65" t="n"/>
      <c r="C36" s="65" t="n"/>
      <c r="D36" s="65" t="n"/>
      <c r="E36" s="65" t="n"/>
      <c r="F36" s="66" t="n"/>
      <c r="G36" s="66" t="n"/>
      <c r="H36" s="53">
        <f>IF(OR(F36="",G36=""),"",ROUNDUP((G36-F36+1)/7,0))</f>
        <v/>
      </c>
      <c r="I36" s="65" t="n"/>
      <c r="J36" s="65" t="n"/>
      <c r="K36" s="64" t="n"/>
      <c r="L36" s="54">
        <f>IF(K36="","",IFERROR(INDEX('Governance and Gates'!$B$6:$B$11,MATCH(K36,'Governance and Gates'!$A$6:$A$11,0)),""))</f>
        <v/>
      </c>
      <c r="M36" s="64" t="n"/>
      <c r="N36" s="64" t="n"/>
      <c r="O36" s="67" t="n"/>
      <c r="P36" s="53">
        <f>IF(M36="Completed","Green",IF(OR(F36="",G36=""),"Not Planned",IF(TODAY()&gt;G36,"Red",IF(TODAY()+14&gt;G36,"Amber","Green"))))</f>
        <v/>
      </c>
    </row>
    <row r="37" ht="25.5" customHeight="1" s="37">
      <c r="A37" s="64" t="n"/>
      <c r="B37" s="65" t="n"/>
      <c r="C37" s="65" t="n"/>
      <c r="D37" s="65" t="n"/>
      <c r="E37" s="65" t="n"/>
      <c r="F37" s="66" t="n"/>
      <c r="G37" s="66" t="n"/>
      <c r="H37" s="53">
        <f>IF(OR(F37="",G37=""),"",ROUNDUP((G37-F37+1)/7,0))</f>
        <v/>
      </c>
      <c r="I37" s="65" t="n"/>
      <c r="J37" s="65" t="n"/>
      <c r="K37" s="64" t="n"/>
      <c r="L37" s="54">
        <f>IF(K37="","",IFERROR(INDEX('Governance and Gates'!$B$6:$B$11,MATCH(K37,'Governance and Gates'!$A$6:$A$11,0)),""))</f>
        <v/>
      </c>
      <c r="M37" s="64" t="n"/>
      <c r="N37" s="64" t="n"/>
      <c r="O37" s="67" t="n"/>
      <c r="P37" s="53">
        <f>IF(M37="Completed","Green",IF(OR(F37="",G37=""),"Not Planned",IF(TODAY()&gt;G37,"Red",IF(TODAY()+14&gt;G37,"Amber","Green"))))</f>
        <v/>
      </c>
    </row>
    <row r="38" ht="25.5" customHeight="1" s="37">
      <c r="A38" s="64" t="n"/>
      <c r="B38" s="65" t="n"/>
      <c r="C38" s="65" t="n"/>
      <c r="D38" s="65" t="n"/>
      <c r="E38" s="65" t="n"/>
      <c r="F38" s="66" t="n"/>
      <c r="G38" s="66" t="n"/>
      <c r="H38" s="53">
        <f>IF(OR(F38="",G38=""),"",ROUNDUP((G38-F38+1)/7,0))</f>
        <v/>
      </c>
      <c r="I38" s="65" t="n"/>
      <c r="J38" s="65" t="n"/>
      <c r="K38" s="64" t="n"/>
      <c r="L38" s="54">
        <f>IF(K38="","",IFERROR(INDEX('Governance and Gates'!$B$6:$B$11,MATCH(K38,'Governance and Gates'!$A$6:$A$11,0)),""))</f>
        <v/>
      </c>
      <c r="M38" s="64" t="n"/>
      <c r="N38" s="64" t="n"/>
      <c r="O38" s="67" t="n"/>
      <c r="P38" s="53">
        <f>IF(M38="Completed","Green",IF(OR(F38="",G38=""),"Not Planned",IF(TODAY()&gt;G38,"Red",IF(TODAY()+14&gt;G38,"Amber","Green"))))</f>
        <v/>
      </c>
    </row>
    <row r="39" ht="25.5" customHeight="1" s="37">
      <c r="A39" s="64" t="n"/>
      <c r="B39" s="65" t="n"/>
      <c r="C39" s="65" t="n"/>
      <c r="D39" s="65" t="n"/>
      <c r="E39" s="65" t="n"/>
      <c r="F39" s="66" t="n"/>
      <c r="G39" s="66" t="n"/>
      <c r="H39" s="53">
        <f>IF(OR(F39="",G39=""),"",ROUNDUP((G39-F39+1)/7,0))</f>
        <v/>
      </c>
      <c r="I39" s="65" t="n"/>
      <c r="J39" s="65" t="n"/>
      <c r="K39" s="64" t="n"/>
      <c r="L39" s="54">
        <f>IF(K39="","",IFERROR(INDEX('Governance and Gates'!$B$6:$B$11,MATCH(K39,'Governance and Gates'!$A$6:$A$11,0)),""))</f>
        <v/>
      </c>
      <c r="M39" s="64" t="n"/>
      <c r="N39" s="64" t="n"/>
      <c r="O39" s="67" t="n"/>
      <c r="P39" s="53">
        <f>IF(M39="Completed","Green",IF(OR(F39="",G39=""),"Not Planned",IF(TODAY()&gt;G39,"Red",IF(TODAY()+14&gt;G39,"Amber","Green"))))</f>
        <v/>
      </c>
    </row>
    <row r="40" ht="23.85" customHeight="1" s="37">
      <c r="A40" s="64" t="n"/>
      <c r="B40" s="65" t="n"/>
      <c r="C40" s="65" t="n"/>
      <c r="D40" s="65" t="n"/>
      <c r="E40" s="65" t="n"/>
      <c r="F40" s="66" t="n"/>
      <c r="G40" s="66" t="n"/>
      <c r="H40" s="53">
        <f>IF(OR(F40="",G40=""),"",ROUNDUP((G40-F40+1)/7,0))</f>
        <v/>
      </c>
      <c r="I40" s="65" t="n"/>
      <c r="J40" s="65" t="n"/>
      <c r="K40" s="64" t="n"/>
      <c r="L40" s="54">
        <f>IF(K40="","",IFERROR(INDEX('Governance and Gates'!$B$6:$B$11,MATCH(K40,'Governance and Gates'!$A$6:$A$11,0)),""))</f>
        <v/>
      </c>
      <c r="M40" s="64" t="n"/>
      <c r="N40" s="64" t="n"/>
      <c r="O40" s="67" t="n"/>
      <c r="P40" s="53">
        <f>IF(M40="Completed","Green",IF(OR(F40="",G40=""),"Not Planned",IF(TODAY()&gt;G40,"Red",IF(TODAY()+14&gt;G40,"Amber","Green"))))</f>
        <v/>
      </c>
    </row>
  </sheetData>
  <sheetProtection selectLockedCells="0" selectUnlockedCells="0" sheet="1" objects="0" insertRows="0" insertHyperlinks="1" autoFilter="0" scenarios="0" formatColumns="0" deleteColumns="1" insertColumns="1" pivotTables="1" deleteRows="0" formatCells="0" formatRows="0" sort="0"/>
  <conditionalFormatting sqref="P6:P39">
    <cfRule type="expression" rank="0" priority="2" equalAverage="0" aboveAverage="0" dxfId="4" text="" percent="0" bottom="0">
      <formula>$P6="Green"</formula>
    </cfRule>
    <cfRule type="expression" rank="0" priority="3" equalAverage="0" aboveAverage="0" dxfId="5" text="" percent="0" bottom="0">
      <formula>$P6="Amber"</formula>
    </cfRule>
    <cfRule type="expression" rank="0" priority="4" equalAverage="0" aboveAverage="0" dxfId="3" text="" percent="0" bottom="0">
      <formula>$P6="Red"</formula>
    </cfRule>
    <cfRule type="expression" rank="0" priority="5" equalAverage="0" aboveAverage="0" dxfId="21" text="" percent="0" bottom="0">
      <formula>$P6="Not Planned"</formula>
    </cfRule>
  </conditionalFormatting>
  <conditionalFormatting sqref="M6:M39">
    <cfRule type="expression" rank="0" priority="6" equalAverage="0" aboveAverage="0" dxfId="4" text="" percent="0" bottom="0">
      <formula>$M6="Completed"</formula>
    </cfRule>
    <cfRule type="expression" rank="0" priority="7" equalAverage="0" aboveAverage="0" dxfId="22" text="" percent="0" bottom="0">
      <formula>$M6="In Progress"</formula>
    </cfRule>
    <cfRule type="expression" rank="0" priority="8" equalAverage="0" aboveAverage="0" dxfId="3" text="" percent="0" bottom="0">
      <formula>$M6="Blocked"</formula>
    </cfRule>
  </conditionalFormatting>
  <conditionalFormatting sqref="N6:N39">
    <cfRule type="expression" rank="0" priority="9" equalAverage="0" aboveAverage="0" dxfId="3" text="" percent="0" bottom="0">
      <formula>$N6="High"</formula>
    </cfRule>
    <cfRule type="expression" rank="0" priority="10" equalAverage="0" aboveAverage="0" dxfId="8" text="" percent="0" bottom="0">
      <formula>$N6="Medium"</formula>
    </cfRule>
  </conditionalFormatting>
  <conditionalFormatting sqref="G6:G39">
    <cfRule type="expression" rank="0" priority="11" equalAverage="0" aboveAverage="0" dxfId="23" text="" percent="0" bottom="0">
      <formula>AND($G6&lt;&gt;"",$G6&lt;TODAY(),$M6&lt;&gt;"Completed")</formula>
    </cfRule>
  </conditionalFormatting>
  <conditionalFormatting sqref="K6:L39">
    <cfRule type="expression" rank="0" priority="12" equalAverage="0" aboveAverage="0" dxfId="8" text="" percent="0" bottom="0">
      <formula>$K6&lt;&gt;""</formula>
    </cfRule>
  </conditionalFormatting>
  <conditionalFormatting sqref="O6:O39">
    <cfRule type="dataBar" priority="13">
      <dataBar minLength="10" maxLength="90" showValue="1">
        <cfvo type="num" val="0"/>
        <cfvo type="num" val="1"/>
        <color rgb="FF4472C4"/>
      </dataBar>
    </cfRule>
  </conditionalFormatting>
  <dataValidations count="6">
    <dataValidation sqref="B6:B39" showDropDown="0" showInputMessage="0" showErrorMessage="0" allowBlank="1" errorTitle="Invalid entry" error="Please choose a value from the drop-down list (maintained on the Lists sheet)." type="list" errorStyle="stop" operator="between">
      <formula1>lstPhase</formula1>
      <formula2>0</formula2>
    </dataValidation>
    <dataValidation sqref="D6:D39" showDropDown="0" showInputMessage="0" showErrorMessage="0" allowBlank="1" errorTitle="Invalid entry" error="Please choose a value from the drop-down list (maintained on the Lists sheet)." type="list" errorStyle="stop" operator="between">
      <formula1>lstOwner</formula1>
      <formula2>0</formula2>
    </dataValidation>
    <dataValidation sqref="K6:K39" showDropDown="0" showInputMessage="0" showErrorMessage="0" allowBlank="1" errorTitle="Invalid entry" error="Please choose a value from the drop-down list (maintained on the Lists sheet)." type="list" errorStyle="stop" operator="between">
      <formula1>lstGate</formula1>
      <formula2>0</formula2>
    </dataValidation>
    <dataValidation sqref="M6:M39" showDropDown="0" showInputMessage="0" showErrorMessage="0" allowBlank="1" errorTitle="Invalid entry" error="Please choose a value from the drop-down list (maintained on the Lists sheet)." type="list" errorStyle="stop" operator="between">
      <formula1>lstStatus</formula1>
      <formula2>0</formula2>
    </dataValidation>
    <dataValidation sqref="N6:N39" showDropDown="0" showInputMessage="0" showErrorMessage="0" allowBlank="1" errorTitle="Invalid entry" error="Please choose a value from the drop-down list (maintained on the Lists sheet)." type="list" errorStyle="stop" operator="between">
      <formula1>lstPriority</formula1>
      <formula2>0</formula2>
    </dataValidation>
    <dataValidation sqref="O6:O39" showDropDown="0" showInputMessage="0" showErrorMessage="0" allowBlank="1" errorTitle="Invalid progress" error="Enter a percentage between 0% and 100%." type="decimal" errorStyle="stop" operator="between">
      <formula1>0</formula1>
      <formula2>1</formula2>
    </dataValidation>
  </dataValidations>
  <printOptions horizontalCentered="1" verticalCentered="0" headings="0" gridLines="0" gridLinesSet="1"/>
  <pageMargins left="0.75" right="0.75" top="1" bottom="1" header="0.5" footer="0.5"/>
  <pageSetup orientation="landscape" paperSize="8" scale="100" fitToHeight="0" fitToWidth="1" pageOrder="downThenOver" blackAndWhite="0" draft="0" horizontalDpi="300" verticalDpi="300" copies="1"/>
  <headerFooter differentOddEven="0" differentFirst="0">
    <oddHeader>&amp;R&amp;8 Internal use</oddHeader>
    <oddFooter>&amp;L&amp;8 NIS2 Group Implementation Project&amp;R&amp;8 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filterMode="0">
    <outlinePr summaryBelow="1" summaryRight="1"/>
    <pageSetUpPr fitToPage="1"/>
  </sheetPr>
  <dimension ref="A1:Q45"/>
  <sheetViews>
    <sheetView showFormulas="0" showGridLines="1" showRowColHeaders="1" showZeros="1" rightToLeft="0" tabSelected="0" showOutlineSymbols="1" defaultGridColor="1"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C31" activeCellId="0" sqref="C31"/>
    </sheetView>
  </sheetViews>
  <sheetFormatPr baseColWidth="8" defaultColWidth="8.71484375" defaultRowHeight="15" zeroHeight="0" outlineLevelRow="0"/>
  <cols>
    <col width="10" customWidth="1" style="36" min="1" max="1"/>
    <col width="14" customWidth="1" style="36" min="2" max="2"/>
    <col width="22" customWidth="1" style="36" min="3" max="3"/>
    <col width="24" customWidth="1" style="36" min="4" max="4"/>
    <col width="40" customWidth="1" style="36" min="5" max="5"/>
    <col width="14" customWidth="1" style="36" min="6" max="6"/>
    <col width="10" customWidth="1" style="36" min="7" max="7"/>
    <col width="24" customWidth="1" style="36" min="8" max="8"/>
    <col width="13" customWidth="1" style="36" min="9" max="10"/>
    <col width="36" customWidth="1" style="36" min="11" max="11"/>
    <col width="32" customWidth="1" style="36" min="12" max="12"/>
    <col width="14" customWidth="1" style="36" min="13" max="13"/>
    <col width="13" customWidth="1" style="36" min="14" max="14"/>
    <col width="11" customWidth="1" style="36" min="15" max="15"/>
    <col width="15" customWidth="1" style="36" min="16" max="16"/>
    <col width="28" customWidth="1" style="36" min="17" max="17"/>
  </cols>
  <sheetData>
    <row r="1" ht="20.25" customHeight="1" s="37">
      <c r="A1" s="38" t="inlineStr">
        <is>
          <t>NIS2 Group Implementation Project</t>
        </is>
      </c>
    </row>
    <row r="2" ht="15.75" customHeight="1" s="37">
      <c r="A2" s="39" t="inlineStr">
        <is>
          <t>Work Packages</t>
        </is>
      </c>
    </row>
    <row r="3" ht="15" customHeight="1" s="37">
      <c r="A3" s="40" t="inlineStr">
        <is>
          <t>Create work packages only after finding validation and management approval (Gate 3). The WP ID is generated automatically as soon as a work package description is entered.</t>
        </is>
      </c>
    </row>
    <row r="4" ht="3" customHeight="1" s="37">
      <c r="A4" s="41" t="n"/>
      <c r="B4" s="41" t="n"/>
      <c r="C4" s="41" t="n"/>
      <c r="D4" s="41" t="n"/>
      <c r="E4" s="41" t="n"/>
      <c r="F4" s="41" t="n"/>
      <c r="G4" s="41" t="n"/>
      <c r="H4" s="41" t="n"/>
      <c r="I4" s="41" t="n"/>
      <c r="J4" s="41" t="n"/>
      <c r="K4" s="41" t="n"/>
      <c r="L4" s="41" t="n"/>
      <c r="M4" s="41" t="n"/>
      <c r="N4" s="41" t="n"/>
      <c r="O4" s="41" t="n"/>
      <c r="P4" s="41" t="n"/>
      <c r="Q4" s="41" t="n"/>
    </row>
    <row r="5" ht="30" customHeight="1" s="37">
      <c r="A5" s="42" t="inlineStr">
        <is>
          <t>WP ID</t>
        </is>
      </c>
      <c r="B5" s="42" t="inlineStr">
        <is>
          <t>GAP Finding ID</t>
        </is>
      </c>
      <c r="C5" s="42" t="inlineStr">
        <is>
          <t>Entity</t>
        </is>
      </c>
      <c r="D5" s="42" t="inlineStr">
        <is>
          <t>Measure Area</t>
        </is>
      </c>
      <c r="E5" s="42" t="inlineStr">
        <is>
          <t>Work Package</t>
        </is>
      </c>
      <c r="F5" s="42" t="inlineStr">
        <is>
          <t>Central or Local</t>
        </is>
      </c>
      <c r="G5" s="42" t="inlineStr">
        <is>
          <t>Priority</t>
        </is>
      </c>
      <c r="H5" s="42" t="inlineStr">
        <is>
          <t>Owner</t>
        </is>
      </c>
      <c r="I5" s="42" t="inlineStr">
        <is>
          <t>Planned Start</t>
        </is>
      </c>
      <c r="J5" s="42" t="inlineStr">
        <is>
          <t>Planned Finish</t>
        </is>
      </c>
      <c r="K5" s="42" t="inlineStr">
        <is>
          <t>Acceptance Criterion</t>
        </is>
      </c>
      <c r="L5" s="42" t="inlineStr">
        <is>
          <t>Expected Evidence</t>
        </is>
      </c>
      <c r="M5" s="42" t="inlineStr">
        <is>
          <t>Dependency</t>
        </is>
      </c>
      <c r="N5" s="42" t="inlineStr">
        <is>
          <t>Status</t>
        </is>
      </c>
      <c r="O5" s="42" t="inlineStr">
        <is>
          <t>Progress %</t>
        </is>
      </c>
      <c r="P5" s="42" t="inlineStr">
        <is>
          <t>Schedule Status</t>
        </is>
      </c>
      <c r="Q5" s="42" t="inlineStr">
        <is>
          <t>Comments</t>
        </is>
      </c>
    </row>
    <row r="6" ht="15" customHeight="1" s="37">
      <c r="A6" s="53">
        <f>IF($E6="","","WP-"&amp;TEXT(ROW()-5,"000"))</f>
        <v/>
      </c>
      <c r="B6" s="65" t="n"/>
      <c r="C6" s="65" t="n"/>
      <c r="D6" s="65" t="n"/>
      <c r="E6" s="65" t="n"/>
      <c r="F6" s="64" t="n"/>
      <c r="G6" s="64" t="n"/>
      <c r="H6" s="65" t="n"/>
      <c r="I6" s="66" t="n"/>
      <c r="J6" s="66" t="n"/>
      <c r="K6" s="65" t="n"/>
      <c r="L6" s="65" t="n"/>
      <c r="M6" s="65" t="n"/>
      <c r="N6" s="64" t="n"/>
      <c r="O6" s="67" t="n"/>
      <c r="P6" s="53">
        <f>IF($E6="","",IF(N6="Completed","Green",IF(OR(I6="",J6=""),"Not Planned",IF(TODAY()&gt;J6,"Red",IF(TODAY()+14&gt;J6,"Amber","Green")))))</f>
        <v/>
      </c>
      <c r="Q6" s="65" t="n"/>
    </row>
    <row r="7" ht="15" customHeight="1" s="37">
      <c r="A7" s="53">
        <f>IF($E7="","","WP-"&amp;TEXT(ROW()-5,"000"))</f>
        <v/>
      </c>
      <c r="B7" s="65" t="n"/>
      <c r="C7" s="65" t="n"/>
      <c r="D7" s="65" t="n"/>
      <c r="E7" s="65" t="n"/>
      <c r="F7" s="64" t="n"/>
      <c r="G7" s="64" t="n"/>
      <c r="H7" s="65" t="n"/>
      <c r="I7" s="66" t="n"/>
      <c r="J7" s="66" t="n"/>
      <c r="K7" s="65" t="n"/>
      <c r="L7" s="65" t="n"/>
      <c r="M7" s="65" t="n"/>
      <c r="N7" s="64" t="n"/>
      <c r="O7" s="67" t="n"/>
      <c r="P7" s="53">
        <f>IF($E7="","",IF(N7="Completed","Green",IF(OR(I7="",J7=""),"Not Planned",IF(TODAY()&gt;J7,"Red",IF(TODAY()+14&gt;J7,"Amber","Green")))))</f>
        <v/>
      </c>
      <c r="Q7" s="65" t="n"/>
    </row>
    <row r="8" ht="15" customHeight="1" s="37">
      <c r="A8" s="53">
        <f>IF($E8="","","WP-"&amp;TEXT(ROW()-5,"000"))</f>
        <v/>
      </c>
      <c r="B8" s="65" t="n"/>
      <c r="C8" s="65" t="n"/>
      <c r="D8" s="65" t="n"/>
      <c r="E8" s="65" t="n"/>
      <c r="F8" s="64" t="n"/>
      <c r="G8" s="64" t="n"/>
      <c r="H8" s="65" t="n"/>
      <c r="I8" s="66" t="n"/>
      <c r="J8" s="66" t="n"/>
      <c r="K8" s="65" t="n"/>
      <c r="L8" s="65" t="n"/>
      <c r="M8" s="65" t="n"/>
      <c r="N8" s="64" t="n"/>
      <c r="O8" s="67" t="n"/>
      <c r="P8" s="53">
        <f>IF($E8="","",IF(N8="Completed","Green",IF(OR(I8="",J8=""),"Not Planned",IF(TODAY()&gt;J8,"Red",IF(TODAY()+14&gt;J8,"Amber","Green")))))</f>
        <v/>
      </c>
      <c r="Q8" s="65" t="n"/>
    </row>
    <row r="9" ht="15" customHeight="1" s="37">
      <c r="A9" s="53">
        <f>IF($E9="","","WP-"&amp;TEXT(ROW()-5,"000"))</f>
        <v/>
      </c>
      <c r="B9" s="65" t="n"/>
      <c r="C9" s="65" t="n"/>
      <c r="D9" s="65" t="n"/>
      <c r="E9" s="65" t="n"/>
      <c r="F9" s="64" t="n"/>
      <c r="G9" s="64" t="n"/>
      <c r="H9" s="65" t="n"/>
      <c r="I9" s="66" t="n"/>
      <c r="J9" s="66" t="n"/>
      <c r="K9" s="65" t="n"/>
      <c r="L9" s="65" t="n"/>
      <c r="M9" s="65" t="n"/>
      <c r="N9" s="64" t="n"/>
      <c r="O9" s="67" t="n"/>
      <c r="P9" s="53">
        <f>IF($E9="","",IF(N9="Completed","Green",IF(OR(I9="",J9=""),"Not Planned",IF(TODAY()&gt;J9,"Red",IF(TODAY()+14&gt;J9,"Amber","Green")))))</f>
        <v/>
      </c>
      <c r="Q9" s="65" t="n"/>
    </row>
    <row r="10" ht="15" customHeight="1" s="37">
      <c r="A10" s="53">
        <f>IF($E10="","","WP-"&amp;TEXT(ROW()-5,"000"))</f>
        <v/>
      </c>
      <c r="B10" s="65" t="n"/>
      <c r="C10" s="65" t="n"/>
      <c r="D10" s="65" t="n"/>
      <c r="E10" s="65" t="n"/>
      <c r="F10" s="64" t="n"/>
      <c r="G10" s="64" t="n"/>
      <c r="H10" s="65" t="n"/>
      <c r="I10" s="66" t="n"/>
      <c r="J10" s="66" t="n"/>
      <c r="K10" s="65" t="n"/>
      <c r="L10" s="65" t="n"/>
      <c r="M10" s="65" t="n"/>
      <c r="N10" s="64" t="n"/>
      <c r="O10" s="67" t="n"/>
      <c r="P10" s="53">
        <f>IF($E10="","",IF(N10="Completed","Green",IF(OR(I10="",J10=""),"Not Planned",IF(TODAY()&gt;J10,"Red",IF(TODAY()+14&gt;J10,"Amber","Green")))))</f>
        <v/>
      </c>
      <c r="Q10" s="65" t="n"/>
    </row>
    <row r="11" ht="15" customHeight="1" s="37">
      <c r="A11" s="53">
        <f>IF($E11="","","WP-"&amp;TEXT(ROW()-5,"000"))</f>
        <v/>
      </c>
      <c r="B11" s="65" t="n"/>
      <c r="C11" s="65" t="n"/>
      <c r="D11" s="65" t="n"/>
      <c r="E11" s="65" t="n"/>
      <c r="F11" s="64" t="n"/>
      <c r="G11" s="64" t="n"/>
      <c r="H11" s="65" t="n"/>
      <c r="I11" s="66" t="n"/>
      <c r="J11" s="66" t="n"/>
      <c r="K11" s="65" t="n"/>
      <c r="L11" s="65" t="n"/>
      <c r="M11" s="65" t="n"/>
      <c r="N11" s="64" t="n"/>
      <c r="O11" s="67" t="n"/>
      <c r="P11" s="53">
        <f>IF($E11="","",IF(N11="Completed","Green",IF(OR(I11="",J11=""),"Not Planned",IF(TODAY()&gt;J11,"Red",IF(TODAY()+14&gt;J11,"Amber","Green")))))</f>
        <v/>
      </c>
      <c r="Q11" s="65" t="n"/>
    </row>
    <row r="12" ht="15" customHeight="1" s="37">
      <c r="A12" s="53">
        <f>IF($E12="","","WP-"&amp;TEXT(ROW()-5,"000"))</f>
        <v/>
      </c>
      <c r="B12" s="65" t="n"/>
      <c r="C12" s="65" t="n"/>
      <c r="D12" s="65" t="n"/>
      <c r="E12" s="65" t="n"/>
      <c r="F12" s="64" t="n"/>
      <c r="G12" s="64" t="n"/>
      <c r="H12" s="65" t="n"/>
      <c r="I12" s="66" t="n"/>
      <c r="J12" s="66" t="n"/>
      <c r="K12" s="65" t="n"/>
      <c r="L12" s="65" t="n"/>
      <c r="M12" s="65" t="n"/>
      <c r="N12" s="64" t="n"/>
      <c r="O12" s="67" t="n"/>
      <c r="P12" s="53">
        <f>IF($E12="","",IF(N12="Completed","Green",IF(OR(I12="",J12=""),"Not Planned",IF(TODAY()&gt;J12,"Red",IF(TODAY()+14&gt;J12,"Amber","Green")))))</f>
        <v/>
      </c>
      <c r="Q12" s="65" t="n"/>
    </row>
    <row r="13" ht="15" customHeight="1" s="37">
      <c r="A13" s="53">
        <f>IF($E13="","","WP-"&amp;TEXT(ROW()-5,"000"))</f>
        <v/>
      </c>
      <c r="B13" s="65" t="n"/>
      <c r="C13" s="65" t="n"/>
      <c r="D13" s="65" t="n"/>
      <c r="E13" s="65" t="n"/>
      <c r="F13" s="64" t="n"/>
      <c r="G13" s="64" t="n"/>
      <c r="H13" s="65" t="n"/>
      <c r="I13" s="66" t="n"/>
      <c r="J13" s="66" t="n"/>
      <c r="K13" s="65" t="n"/>
      <c r="L13" s="65" t="n"/>
      <c r="M13" s="65" t="n"/>
      <c r="N13" s="64" t="n"/>
      <c r="O13" s="67" t="n"/>
      <c r="P13" s="53">
        <f>IF($E13="","",IF(N13="Completed","Green",IF(OR(I13="",J13=""),"Not Planned",IF(TODAY()&gt;J13,"Red",IF(TODAY()+14&gt;J13,"Amber","Green")))))</f>
        <v/>
      </c>
      <c r="Q13" s="65" t="n"/>
    </row>
    <row r="14" ht="15" customHeight="1" s="37">
      <c r="A14" s="53">
        <f>IF($E14="","","WP-"&amp;TEXT(ROW()-5,"000"))</f>
        <v/>
      </c>
      <c r="B14" s="65" t="n"/>
      <c r="C14" s="65" t="n"/>
      <c r="D14" s="65" t="n"/>
      <c r="E14" s="65" t="n"/>
      <c r="F14" s="64" t="n"/>
      <c r="G14" s="64" t="n"/>
      <c r="H14" s="65" t="n"/>
      <c r="I14" s="66" t="n"/>
      <c r="J14" s="66" t="n"/>
      <c r="K14" s="65" t="n"/>
      <c r="L14" s="65" t="n"/>
      <c r="M14" s="65" t="n"/>
      <c r="N14" s="64" t="n"/>
      <c r="O14" s="67" t="n"/>
      <c r="P14" s="53">
        <f>IF($E14="","",IF(N14="Completed","Green",IF(OR(I14="",J14=""),"Not Planned",IF(TODAY()&gt;J14,"Red",IF(TODAY()+14&gt;J14,"Amber","Green")))))</f>
        <v/>
      </c>
      <c r="Q14" s="65" t="n"/>
    </row>
    <row r="15" ht="15" customHeight="1" s="37">
      <c r="A15" s="53">
        <f>IF($E15="","","WP-"&amp;TEXT(ROW()-5,"000"))</f>
        <v/>
      </c>
      <c r="B15" s="65" t="n"/>
      <c r="C15" s="65" t="n"/>
      <c r="D15" s="65" t="n"/>
      <c r="E15" s="65" t="n"/>
      <c r="F15" s="64" t="n"/>
      <c r="G15" s="64" t="n"/>
      <c r="H15" s="65" t="n"/>
      <c r="I15" s="66" t="n"/>
      <c r="J15" s="66" t="n"/>
      <c r="K15" s="65" t="n"/>
      <c r="L15" s="65" t="n"/>
      <c r="M15" s="65" t="n"/>
      <c r="N15" s="64" t="n"/>
      <c r="O15" s="67" t="n"/>
      <c r="P15" s="53">
        <f>IF($E15="","",IF(N15="Completed","Green",IF(OR(I15="",J15=""),"Not Planned",IF(TODAY()&gt;J15,"Red",IF(TODAY()+14&gt;J15,"Amber","Green")))))</f>
        <v/>
      </c>
      <c r="Q15" s="65" t="n"/>
    </row>
    <row r="16" ht="15" customHeight="1" s="37">
      <c r="A16" s="53">
        <f>IF($E16="","","WP-"&amp;TEXT(ROW()-5,"000"))</f>
        <v/>
      </c>
      <c r="B16" s="65" t="n"/>
      <c r="C16" s="65" t="n"/>
      <c r="D16" s="65" t="n"/>
      <c r="E16" s="65" t="n"/>
      <c r="F16" s="64" t="n"/>
      <c r="G16" s="64" t="n"/>
      <c r="H16" s="65" t="n"/>
      <c r="I16" s="66" t="n"/>
      <c r="J16" s="66" t="n"/>
      <c r="K16" s="65" t="n"/>
      <c r="L16" s="65" t="n"/>
      <c r="M16" s="65" t="n"/>
      <c r="N16" s="64" t="n"/>
      <c r="O16" s="67" t="n"/>
      <c r="P16" s="53">
        <f>IF($E16="","",IF(N16="Completed","Green",IF(OR(I16="",J16=""),"Not Planned",IF(TODAY()&gt;J16,"Red",IF(TODAY()+14&gt;J16,"Amber","Green")))))</f>
        <v/>
      </c>
      <c r="Q16" s="65" t="n"/>
    </row>
    <row r="17" ht="15" customHeight="1" s="37">
      <c r="A17" s="53">
        <f>IF($E17="","","WP-"&amp;TEXT(ROW()-5,"000"))</f>
        <v/>
      </c>
      <c r="B17" s="65" t="n"/>
      <c r="C17" s="65" t="n"/>
      <c r="D17" s="65" t="n"/>
      <c r="E17" s="65" t="n"/>
      <c r="F17" s="64" t="n"/>
      <c r="G17" s="64" t="n"/>
      <c r="H17" s="65" t="n"/>
      <c r="I17" s="66" t="n"/>
      <c r="J17" s="66" t="n"/>
      <c r="K17" s="65" t="n"/>
      <c r="L17" s="65" t="n"/>
      <c r="M17" s="65" t="n"/>
      <c r="N17" s="64" t="n"/>
      <c r="O17" s="67" t="n"/>
      <c r="P17" s="53">
        <f>IF($E17="","",IF(N17="Completed","Green",IF(OR(I17="",J17=""),"Not Planned",IF(TODAY()&gt;J17,"Red",IF(TODAY()+14&gt;J17,"Amber","Green")))))</f>
        <v/>
      </c>
      <c r="Q17" s="65" t="n"/>
    </row>
    <row r="18" ht="15" customHeight="1" s="37">
      <c r="A18" s="53">
        <f>IF($E18="","","WP-"&amp;TEXT(ROW()-5,"000"))</f>
        <v/>
      </c>
      <c r="B18" s="65" t="n"/>
      <c r="C18" s="65" t="n"/>
      <c r="D18" s="65" t="n"/>
      <c r="E18" s="65" t="n"/>
      <c r="F18" s="64" t="n"/>
      <c r="G18" s="64" t="n"/>
      <c r="H18" s="65" t="n"/>
      <c r="I18" s="66" t="n"/>
      <c r="J18" s="66" t="n"/>
      <c r="K18" s="65" t="n"/>
      <c r="L18" s="65" t="n"/>
      <c r="M18" s="65" t="n"/>
      <c r="N18" s="64" t="n"/>
      <c r="O18" s="67" t="n"/>
      <c r="P18" s="53">
        <f>IF($E18="","",IF(N18="Completed","Green",IF(OR(I18="",J18=""),"Not Planned",IF(TODAY()&gt;J18,"Red",IF(TODAY()+14&gt;J18,"Amber","Green")))))</f>
        <v/>
      </c>
      <c r="Q18" s="65" t="n"/>
    </row>
    <row r="19" ht="15" customHeight="1" s="37">
      <c r="A19" s="53">
        <f>IF($E19="","","WP-"&amp;TEXT(ROW()-5,"000"))</f>
        <v/>
      </c>
      <c r="B19" s="65" t="n"/>
      <c r="C19" s="65" t="n"/>
      <c r="D19" s="65" t="n"/>
      <c r="E19" s="65" t="n"/>
      <c r="F19" s="64" t="n"/>
      <c r="G19" s="64" t="n"/>
      <c r="H19" s="65" t="n"/>
      <c r="I19" s="66" t="n"/>
      <c r="J19" s="66" t="n"/>
      <c r="K19" s="65" t="n"/>
      <c r="L19" s="65" t="n"/>
      <c r="M19" s="65" t="n"/>
      <c r="N19" s="64" t="n"/>
      <c r="O19" s="67" t="n"/>
      <c r="P19" s="53">
        <f>IF($E19="","",IF(N19="Completed","Green",IF(OR(I19="",J19=""),"Not Planned",IF(TODAY()&gt;J19,"Red",IF(TODAY()+14&gt;J19,"Amber","Green")))))</f>
        <v/>
      </c>
      <c r="Q19" s="65" t="n"/>
    </row>
    <row r="20" ht="15" customHeight="1" s="37">
      <c r="A20" s="53">
        <f>IF($E20="","","WP-"&amp;TEXT(ROW()-5,"000"))</f>
        <v/>
      </c>
      <c r="B20" s="65" t="n"/>
      <c r="C20" s="65" t="n"/>
      <c r="D20" s="65" t="n"/>
      <c r="E20" s="65" t="n"/>
      <c r="F20" s="64" t="n"/>
      <c r="G20" s="64" t="n"/>
      <c r="H20" s="65" t="n"/>
      <c r="I20" s="66" t="n"/>
      <c r="J20" s="66" t="n"/>
      <c r="K20" s="65" t="n"/>
      <c r="L20" s="65" t="n"/>
      <c r="M20" s="65" t="n"/>
      <c r="N20" s="64" t="n"/>
      <c r="O20" s="67" t="n"/>
      <c r="P20" s="53">
        <f>IF($E20="","",IF(N20="Completed","Green",IF(OR(I20="",J20=""),"Not Planned",IF(TODAY()&gt;J20,"Red",IF(TODAY()+14&gt;J20,"Amber","Green")))))</f>
        <v/>
      </c>
      <c r="Q20" s="65" t="n"/>
    </row>
    <row r="21" ht="15" customHeight="1" s="37">
      <c r="A21" s="53">
        <f>IF($E21="","","WP-"&amp;TEXT(ROW()-5,"000"))</f>
        <v/>
      </c>
      <c r="B21" s="65" t="n"/>
      <c r="C21" s="65" t="n"/>
      <c r="D21" s="65" t="n"/>
      <c r="E21" s="65" t="n"/>
      <c r="F21" s="64" t="n"/>
      <c r="G21" s="64" t="n"/>
      <c r="H21" s="65" t="n"/>
      <c r="I21" s="66" t="n"/>
      <c r="J21" s="66" t="n"/>
      <c r="K21" s="65" t="n"/>
      <c r="L21" s="65" t="n"/>
      <c r="M21" s="65" t="n"/>
      <c r="N21" s="64" t="n"/>
      <c r="O21" s="67" t="n"/>
      <c r="P21" s="53">
        <f>IF($E21="","",IF(N21="Completed","Green",IF(OR(I21="",J21=""),"Not Planned",IF(TODAY()&gt;J21,"Red",IF(TODAY()+14&gt;J21,"Amber","Green")))))</f>
        <v/>
      </c>
      <c r="Q21" s="65" t="n"/>
    </row>
    <row r="22" ht="15" customHeight="1" s="37">
      <c r="A22" s="53">
        <f>IF($E22="","","WP-"&amp;TEXT(ROW()-5,"000"))</f>
        <v/>
      </c>
      <c r="B22" s="65" t="n"/>
      <c r="C22" s="65" t="n"/>
      <c r="D22" s="65" t="n"/>
      <c r="E22" s="65" t="n"/>
      <c r="F22" s="64" t="n"/>
      <c r="G22" s="64" t="n"/>
      <c r="H22" s="65" t="n"/>
      <c r="I22" s="66" t="n"/>
      <c r="J22" s="66" t="n"/>
      <c r="K22" s="65" t="n"/>
      <c r="L22" s="65" t="n"/>
      <c r="M22" s="65" t="n"/>
      <c r="N22" s="64" t="n"/>
      <c r="O22" s="67" t="n"/>
      <c r="P22" s="53">
        <f>IF($E22="","",IF(N22="Completed","Green",IF(OR(I22="",J22=""),"Not Planned",IF(TODAY()&gt;J22,"Red",IF(TODAY()+14&gt;J22,"Amber","Green")))))</f>
        <v/>
      </c>
      <c r="Q22" s="65" t="n"/>
    </row>
    <row r="23" ht="15" customHeight="1" s="37">
      <c r="A23" s="53">
        <f>IF($E23="","","WP-"&amp;TEXT(ROW()-5,"000"))</f>
        <v/>
      </c>
      <c r="B23" s="65" t="n"/>
      <c r="C23" s="65" t="n"/>
      <c r="D23" s="65" t="n"/>
      <c r="E23" s="65" t="n"/>
      <c r="F23" s="64" t="n"/>
      <c r="G23" s="64" t="n"/>
      <c r="H23" s="65" t="n"/>
      <c r="I23" s="66" t="n"/>
      <c r="J23" s="66" t="n"/>
      <c r="K23" s="65" t="n"/>
      <c r="L23" s="65" t="n"/>
      <c r="M23" s="65" t="n"/>
      <c r="N23" s="64" t="n"/>
      <c r="O23" s="67" t="n"/>
      <c r="P23" s="53">
        <f>IF($E23="","",IF(N23="Completed","Green",IF(OR(I23="",J23=""),"Not Planned",IF(TODAY()&gt;J23,"Red",IF(TODAY()+14&gt;J23,"Amber","Green")))))</f>
        <v/>
      </c>
      <c r="Q23" s="65" t="n"/>
    </row>
    <row r="24" ht="15" customHeight="1" s="37">
      <c r="A24" s="53">
        <f>IF($E24="","","WP-"&amp;TEXT(ROW()-5,"000"))</f>
        <v/>
      </c>
      <c r="B24" s="65" t="n"/>
      <c r="C24" s="65" t="n"/>
      <c r="D24" s="65" t="n"/>
      <c r="E24" s="65" t="n"/>
      <c r="F24" s="64" t="n"/>
      <c r="G24" s="64" t="n"/>
      <c r="H24" s="65" t="n"/>
      <c r="I24" s="66" t="n"/>
      <c r="J24" s="66" t="n"/>
      <c r="K24" s="65" t="n"/>
      <c r="L24" s="65" t="n"/>
      <c r="M24" s="65" t="n"/>
      <c r="N24" s="64" t="n"/>
      <c r="O24" s="67" t="n"/>
      <c r="P24" s="53">
        <f>IF($E24="","",IF(N24="Completed","Green",IF(OR(I24="",J24=""),"Not Planned",IF(TODAY()&gt;J24,"Red",IF(TODAY()+14&gt;J24,"Amber","Green")))))</f>
        <v/>
      </c>
      <c r="Q24" s="65" t="n"/>
    </row>
    <row r="25" ht="15" customHeight="1" s="37">
      <c r="A25" s="53">
        <f>IF($E25="","","WP-"&amp;TEXT(ROW()-5,"000"))</f>
        <v/>
      </c>
      <c r="B25" s="65" t="n"/>
      <c r="C25" s="65" t="n"/>
      <c r="D25" s="65" t="n"/>
      <c r="E25" s="65" t="n"/>
      <c r="F25" s="64" t="n"/>
      <c r="G25" s="64" t="n"/>
      <c r="H25" s="65" t="n"/>
      <c r="I25" s="66" t="n"/>
      <c r="J25" s="66" t="n"/>
      <c r="K25" s="65" t="n"/>
      <c r="L25" s="65" t="n"/>
      <c r="M25" s="65" t="n"/>
      <c r="N25" s="64" t="n"/>
      <c r="O25" s="67" t="n"/>
      <c r="P25" s="53">
        <f>IF($E25="","",IF(N25="Completed","Green",IF(OR(I25="",J25=""),"Not Planned",IF(TODAY()&gt;J25,"Red",IF(TODAY()+14&gt;J25,"Amber","Green")))))</f>
        <v/>
      </c>
      <c r="Q25" s="65" t="n"/>
    </row>
    <row r="26" ht="15" customHeight="1" s="37">
      <c r="A26" s="53">
        <f>IF($E26="","","WP-"&amp;TEXT(ROW()-5,"000"))</f>
        <v/>
      </c>
      <c r="B26" s="65" t="n"/>
      <c r="C26" s="65" t="n"/>
      <c r="D26" s="65" t="n"/>
      <c r="E26" s="65" t="n"/>
      <c r="F26" s="64" t="n"/>
      <c r="G26" s="64" t="n"/>
      <c r="H26" s="65" t="n"/>
      <c r="I26" s="66" t="n"/>
      <c r="J26" s="66" t="n"/>
      <c r="K26" s="65" t="n"/>
      <c r="L26" s="65" t="n"/>
      <c r="M26" s="65" t="n"/>
      <c r="N26" s="64" t="n"/>
      <c r="O26" s="67" t="n"/>
      <c r="P26" s="53">
        <f>IF($E26="","",IF(N26="Completed","Green",IF(OR(I26="",J26=""),"Not Planned",IF(TODAY()&gt;J26,"Red",IF(TODAY()+14&gt;J26,"Amber","Green")))))</f>
        <v/>
      </c>
      <c r="Q26" s="65" t="n"/>
    </row>
    <row r="27" ht="15" customHeight="1" s="37">
      <c r="A27" s="53">
        <f>IF($E27="","","WP-"&amp;TEXT(ROW()-5,"000"))</f>
        <v/>
      </c>
      <c r="B27" s="65" t="n"/>
      <c r="C27" s="65" t="n"/>
      <c r="D27" s="65" t="n"/>
      <c r="E27" s="65" t="n"/>
      <c r="F27" s="64" t="n"/>
      <c r="G27" s="64" t="n"/>
      <c r="H27" s="65" t="n"/>
      <c r="I27" s="66" t="n"/>
      <c r="J27" s="66" t="n"/>
      <c r="K27" s="65" t="n"/>
      <c r="L27" s="65" t="n"/>
      <c r="M27" s="65" t="n"/>
      <c r="N27" s="64" t="n"/>
      <c r="O27" s="67" t="n"/>
      <c r="P27" s="53">
        <f>IF($E27="","",IF(N27="Completed","Green",IF(OR(I27="",J27=""),"Not Planned",IF(TODAY()&gt;J27,"Red",IF(TODAY()+14&gt;J27,"Amber","Green")))))</f>
        <v/>
      </c>
      <c r="Q27" s="65" t="n"/>
    </row>
    <row r="28" ht="15" customHeight="1" s="37">
      <c r="A28" s="53">
        <f>IF($E28="","","WP-"&amp;TEXT(ROW()-5,"000"))</f>
        <v/>
      </c>
      <c r="B28" s="65" t="n"/>
      <c r="C28" s="65" t="n"/>
      <c r="D28" s="65" t="n"/>
      <c r="E28" s="65" t="n"/>
      <c r="F28" s="64" t="n"/>
      <c r="G28" s="64" t="n"/>
      <c r="H28" s="65" t="n"/>
      <c r="I28" s="66" t="n"/>
      <c r="J28" s="66" t="n"/>
      <c r="K28" s="65" t="n"/>
      <c r="L28" s="65" t="n"/>
      <c r="M28" s="65" t="n"/>
      <c r="N28" s="64" t="n"/>
      <c r="O28" s="67" t="n"/>
      <c r="P28" s="53">
        <f>IF($E28="","",IF(N28="Completed","Green",IF(OR(I28="",J28=""),"Not Planned",IF(TODAY()&gt;J28,"Red",IF(TODAY()+14&gt;J28,"Amber","Green")))))</f>
        <v/>
      </c>
      <c r="Q28" s="65" t="n"/>
    </row>
    <row r="29" ht="15" customHeight="1" s="37">
      <c r="A29" s="53">
        <f>IF($E29="","","WP-"&amp;TEXT(ROW()-5,"000"))</f>
        <v/>
      </c>
      <c r="B29" s="65" t="n"/>
      <c r="C29" s="65" t="n"/>
      <c r="D29" s="65" t="n"/>
      <c r="E29" s="65" t="n"/>
      <c r="F29" s="64" t="n"/>
      <c r="G29" s="64" t="n"/>
      <c r="H29" s="65" t="n"/>
      <c r="I29" s="66" t="n"/>
      <c r="J29" s="66" t="n"/>
      <c r="K29" s="65" t="n"/>
      <c r="L29" s="65" t="n"/>
      <c r="M29" s="65" t="n"/>
      <c r="N29" s="64" t="n"/>
      <c r="O29" s="67" t="n"/>
      <c r="P29" s="53">
        <f>IF($E29="","",IF(N29="Completed","Green",IF(OR(I29="",J29=""),"Not Planned",IF(TODAY()&gt;J29,"Red",IF(TODAY()+14&gt;J29,"Amber","Green")))))</f>
        <v/>
      </c>
      <c r="Q29" s="65" t="n"/>
    </row>
    <row r="30" ht="15" customHeight="1" s="37">
      <c r="A30" s="53">
        <f>IF($E30="","","WP-"&amp;TEXT(ROW()-5,"000"))</f>
        <v/>
      </c>
      <c r="B30" s="65" t="n"/>
      <c r="C30" s="65" t="n"/>
      <c r="D30" s="65" t="n"/>
      <c r="E30" s="65" t="n"/>
      <c r="F30" s="64" t="n"/>
      <c r="G30" s="64" t="n"/>
      <c r="H30" s="65" t="n"/>
      <c r="I30" s="66" t="n"/>
      <c r="J30" s="66" t="n"/>
      <c r="K30" s="65" t="n"/>
      <c r="L30" s="65" t="n"/>
      <c r="M30" s="65" t="n"/>
      <c r="N30" s="64" t="n"/>
      <c r="O30" s="67" t="n"/>
      <c r="P30" s="53">
        <f>IF($E30="","",IF(N30="Completed","Green",IF(OR(I30="",J30=""),"Not Planned",IF(TODAY()&gt;J30,"Red",IF(TODAY()+14&gt;J30,"Amber","Green")))))</f>
        <v/>
      </c>
      <c r="Q30" s="65" t="n"/>
    </row>
    <row r="31" ht="15" customHeight="1" s="37">
      <c r="A31" s="53">
        <f>IF($E31="","","WP-"&amp;TEXT(ROW()-5,"000"))</f>
        <v/>
      </c>
      <c r="B31" s="65" t="n"/>
      <c r="C31" s="65" t="n"/>
      <c r="D31" s="65" t="n"/>
      <c r="E31" s="65" t="n"/>
      <c r="F31" s="64" t="n"/>
      <c r="G31" s="64" t="n"/>
      <c r="H31" s="65" t="n"/>
      <c r="I31" s="66" t="n"/>
      <c r="J31" s="66" t="n"/>
      <c r="K31" s="65" t="n"/>
      <c r="L31" s="65" t="n"/>
      <c r="M31" s="65" t="n"/>
      <c r="N31" s="64" t="n"/>
      <c r="O31" s="67" t="n"/>
      <c r="P31" s="53">
        <f>IF($E31="","",IF(N31="Completed","Green",IF(OR(I31="",J31=""),"Not Planned",IF(TODAY()&gt;J31,"Red",IF(TODAY()+14&gt;J31,"Amber","Green")))))</f>
        <v/>
      </c>
      <c r="Q31" s="65" t="n"/>
    </row>
    <row r="32" ht="15" customHeight="1" s="37">
      <c r="A32" s="53">
        <f>IF($E32="","","WP-"&amp;TEXT(ROW()-5,"000"))</f>
        <v/>
      </c>
      <c r="B32" s="65" t="n"/>
      <c r="C32" s="65" t="n"/>
      <c r="D32" s="65" t="n"/>
      <c r="E32" s="65" t="n"/>
      <c r="F32" s="64" t="n"/>
      <c r="G32" s="64" t="n"/>
      <c r="H32" s="65" t="n"/>
      <c r="I32" s="66" t="n"/>
      <c r="J32" s="66" t="n"/>
      <c r="K32" s="65" t="n"/>
      <c r="L32" s="65" t="n"/>
      <c r="M32" s="65" t="n"/>
      <c r="N32" s="64" t="n"/>
      <c r="O32" s="67" t="n"/>
      <c r="P32" s="53">
        <f>IF($E32="","",IF(N32="Completed","Green",IF(OR(I32="",J32=""),"Not Planned",IF(TODAY()&gt;J32,"Red",IF(TODAY()+14&gt;J32,"Amber","Green")))))</f>
        <v/>
      </c>
      <c r="Q32" s="65" t="n"/>
    </row>
    <row r="33" ht="15" customHeight="1" s="37">
      <c r="A33" s="53">
        <f>IF($E33="","","WP-"&amp;TEXT(ROW()-5,"000"))</f>
        <v/>
      </c>
      <c r="B33" s="65" t="n"/>
      <c r="C33" s="65" t="n"/>
      <c r="D33" s="65" t="n"/>
      <c r="E33" s="65" t="n"/>
      <c r="F33" s="64" t="n"/>
      <c r="G33" s="64" t="n"/>
      <c r="H33" s="65" t="n"/>
      <c r="I33" s="66" t="n"/>
      <c r="J33" s="66" t="n"/>
      <c r="K33" s="65" t="n"/>
      <c r="L33" s="65" t="n"/>
      <c r="M33" s="65" t="n"/>
      <c r="N33" s="64" t="n"/>
      <c r="O33" s="67" t="n"/>
      <c r="P33" s="53">
        <f>IF($E33="","",IF(N33="Completed","Green",IF(OR(I33="",J33=""),"Not Planned",IF(TODAY()&gt;J33,"Red",IF(TODAY()+14&gt;J33,"Amber","Green")))))</f>
        <v/>
      </c>
      <c r="Q33" s="65" t="n"/>
    </row>
    <row r="34" ht="15" customHeight="1" s="37">
      <c r="A34" s="53">
        <f>IF($E34="","","WP-"&amp;TEXT(ROW()-5,"000"))</f>
        <v/>
      </c>
      <c r="B34" s="65" t="n"/>
      <c r="C34" s="65" t="n"/>
      <c r="D34" s="65" t="n"/>
      <c r="E34" s="65" t="n"/>
      <c r="F34" s="64" t="n"/>
      <c r="G34" s="64" t="n"/>
      <c r="H34" s="65" t="n"/>
      <c r="I34" s="66" t="n"/>
      <c r="J34" s="66" t="n"/>
      <c r="K34" s="65" t="n"/>
      <c r="L34" s="65" t="n"/>
      <c r="M34" s="65" t="n"/>
      <c r="N34" s="64" t="n"/>
      <c r="O34" s="67" t="n"/>
      <c r="P34" s="53">
        <f>IF($E34="","",IF(N34="Completed","Green",IF(OR(I34="",J34=""),"Not Planned",IF(TODAY()&gt;J34,"Red",IF(TODAY()+14&gt;J34,"Amber","Green")))))</f>
        <v/>
      </c>
      <c r="Q34" s="65" t="n"/>
    </row>
    <row r="35" ht="15" customHeight="1" s="37">
      <c r="A35" s="53">
        <f>IF($E35="","","WP-"&amp;TEXT(ROW()-5,"000"))</f>
        <v/>
      </c>
      <c r="B35" s="65" t="n"/>
      <c r="C35" s="65" t="n"/>
      <c r="D35" s="65" t="n"/>
      <c r="E35" s="65" t="n"/>
      <c r="F35" s="64" t="n"/>
      <c r="G35" s="64" t="n"/>
      <c r="H35" s="65" t="n"/>
      <c r="I35" s="66" t="n"/>
      <c r="J35" s="66" t="n"/>
      <c r="K35" s="65" t="n"/>
      <c r="L35" s="65" t="n"/>
      <c r="M35" s="65" t="n"/>
      <c r="N35" s="64" t="n"/>
      <c r="O35" s="67" t="n"/>
      <c r="P35" s="53">
        <f>IF($E35="","",IF(N35="Completed","Green",IF(OR(I35="",J35=""),"Not Planned",IF(TODAY()&gt;J35,"Red",IF(TODAY()+14&gt;J35,"Amber","Green")))))</f>
        <v/>
      </c>
      <c r="Q35" s="65" t="n"/>
    </row>
    <row r="36" ht="15" customHeight="1" s="37">
      <c r="A36" s="53">
        <f>IF($E36="","","WP-"&amp;TEXT(ROW()-5,"000"))</f>
        <v/>
      </c>
      <c r="B36" s="65" t="n"/>
      <c r="C36" s="65" t="n"/>
      <c r="D36" s="65" t="n"/>
      <c r="E36" s="65" t="n"/>
      <c r="F36" s="64" t="n"/>
      <c r="G36" s="64" t="n"/>
      <c r="H36" s="65" t="n"/>
      <c r="I36" s="66" t="n"/>
      <c r="J36" s="66" t="n"/>
      <c r="K36" s="65" t="n"/>
      <c r="L36" s="65" t="n"/>
      <c r="M36" s="65" t="n"/>
      <c r="N36" s="64" t="n"/>
      <c r="O36" s="67" t="n"/>
      <c r="P36" s="53">
        <f>IF($E36="","",IF(N36="Completed","Green",IF(OR(I36="",J36=""),"Not Planned",IF(TODAY()&gt;J36,"Red",IF(TODAY()+14&gt;J36,"Amber","Green")))))</f>
        <v/>
      </c>
      <c r="Q36" s="65" t="n"/>
    </row>
    <row r="37" ht="15" customHeight="1" s="37">
      <c r="A37" s="53">
        <f>IF($E37="","","WP-"&amp;TEXT(ROW()-5,"000"))</f>
        <v/>
      </c>
      <c r="B37" s="65" t="n"/>
      <c r="C37" s="65" t="n"/>
      <c r="D37" s="65" t="n"/>
      <c r="E37" s="65" t="n"/>
      <c r="F37" s="64" t="n"/>
      <c r="G37" s="64" t="n"/>
      <c r="H37" s="65" t="n"/>
      <c r="I37" s="66" t="n"/>
      <c r="J37" s="66" t="n"/>
      <c r="K37" s="65" t="n"/>
      <c r="L37" s="65" t="n"/>
      <c r="M37" s="65" t="n"/>
      <c r="N37" s="64" t="n"/>
      <c r="O37" s="67" t="n"/>
      <c r="P37" s="53">
        <f>IF($E37="","",IF(N37="Completed","Green",IF(OR(I37="",J37=""),"Not Planned",IF(TODAY()&gt;J37,"Red",IF(TODAY()+14&gt;J37,"Amber","Green")))))</f>
        <v/>
      </c>
      <c r="Q37" s="65" t="n"/>
    </row>
    <row r="38" ht="15" customHeight="1" s="37">
      <c r="A38" s="53">
        <f>IF($E38="","","WP-"&amp;TEXT(ROW()-5,"000"))</f>
        <v/>
      </c>
      <c r="B38" s="65" t="n"/>
      <c r="C38" s="65" t="n"/>
      <c r="D38" s="65" t="n"/>
      <c r="E38" s="65" t="n"/>
      <c r="F38" s="64" t="n"/>
      <c r="G38" s="64" t="n"/>
      <c r="H38" s="65" t="n"/>
      <c r="I38" s="66" t="n"/>
      <c r="J38" s="66" t="n"/>
      <c r="K38" s="65" t="n"/>
      <c r="L38" s="65" t="n"/>
      <c r="M38" s="65" t="n"/>
      <c r="N38" s="64" t="n"/>
      <c r="O38" s="67" t="n"/>
      <c r="P38" s="53">
        <f>IF($E38="","",IF(N38="Completed","Green",IF(OR(I38="",J38=""),"Not Planned",IF(TODAY()&gt;J38,"Red",IF(TODAY()+14&gt;J38,"Amber","Green")))))</f>
        <v/>
      </c>
      <c r="Q38" s="65" t="n"/>
    </row>
    <row r="39" ht="15" customHeight="1" s="37">
      <c r="A39" s="53">
        <f>IF($E39="","","WP-"&amp;TEXT(ROW()-5,"000"))</f>
        <v/>
      </c>
      <c r="B39" s="65" t="n"/>
      <c r="C39" s="65" t="n"/>
      <c r="D39" s="65" t="n"/>
      <c r="E39" s="65" t="n"/>
      <c r="F39" s="64" t="n"/>
      <c r="G39" s="64" t="n"/>
      <c r="H39" s="65" t="n"/>
      <c r="I39" s="66" t="n"/>
      <c r="J39" s="66" t="n"/>
      <c r="K39" s="65" t="n"/>
      <c r="L39" s="65" t="n"/>
      <c r="M39" s="65" t="n"/>
      <c r="N39" s="64" t="n"/>
      <c r="O39" s="67" t="n"/>
      <c r="P39" s="53">
        <f>IF($E39="","",IF(N39="Completed","Green",IF(OR(I39="",J39=""),"Not Planned",IF(TODAY()&gt;J39,"Red",IF(TODAY()+14&gt;J39,"Amber","Green")))))</f>
        <v/>
      </c>
      <c r="Q39" s="65" t="n"/>
    </row>
    <row r="40" ht="15" customHeight="1" s="37">
      <c r="A40" s="53">
        <f>IF($E40="","","WP-"&amp;TEXT(ROW()-5,"000"))</f>
        <v/>
      </c>
      <c r="B40" s="65" t="n"/>
      <c r="C40" s="65" t="n"/>
      <c r="D40" s="65" t="n"/>
      <c r="E40" s="65" t="n"/>
      <c r="F40" s="64" t="n"/>
      <c r="G40" s="64" t="n"/>
      <c r="H40" s="65" t="n"/>
      <c r="I40" s="66" t="n"/>
      <c r="J40" s="66" t="n"/>
      <c r="K40" s="65" t="n"/>
      <c r="L40" s="65" t="n"/>
      <c r="M40" s="65" t="n"/>
      <c r="N40" s="64" t="n"/>
      <c r="O40" s="67" t="n"/>
      <c r="P40" s="53">
        <f>IF($E40="","",IF(N40="Completed","Green",IF(OR(I40="",J40=""),"Not Planned",IF(TODAY()&gt;J40,"Red",IF(TODAY()+14&gt;J40,"Amber","Green")))))</f>
        <v/>
      </c>
      <c r="Q40" s="65" t="n"/>
    </row>
    <row r="41" ht="15" customHeight="1" s="37">
      <c r="A41" s="53">
        <f>IF($E41="","","WP-"&amp;TEXT(ROW()-5,"000"))</f>
        <v/>
      </c>
      <c r="B41" s="65" t="n"/>
      <c r="C41" s="65" t="n"/>
      <c r="D41" s="65" t="n"/>
      <c r="E41" s="65" t="n"/>
      <c r="F41" s="64" t="n"/>
      <c r="G41" s="64" t="n"/>
      <c r="H41" s="65" t="n"/>
      <c r="I41" s="66" t="n"/>
      <c r="J41" s="66" t="n"/>
      <c r="K41" s="65" t="n"/>
      <c r="L41" s="65" t="n"/>
      <c r="M41" s="65" t="n"/>
      <c r="N41" s="64" t="n"/>
      <c r="O41" s="67" t="n"/>
      <c r="P41" s="53">
        <f>IF($E41="","",IF(N41="Completed","Green",IF(OR(I41="",J41=""),"Not Planned",IF(TODAY()&gt;J41,"Red",IF(TODAY()+14&gt;J41,"Amber","Green")))))</f>
        <v/>
      </c>
      <c r="Q41" s="65" t="n"/>
    </row>
    <row r="42" ht="15" customHeight="1" s="37">
      <c r="A42" s="53">
        <f>IF($E42="","","WP-"&amp;TEXT(ROW()-5,"000"))</f>
        <v/>
      </c>
      <c r="B42" s="65" t="n"/>
      <c r="C42" s="65" t="n"/>
      <c r="D42" s="65" t="n"/>
      <c r="E42" s="65" t="n"/>
      <c r="F42" s="64" t="n"/>
      <c r="G42" s="64" t="n"/>
      <c r="H42" s="65" t="n"/>
      <c r="I42" s="66" t="n"/>
      <c r="J42" s="66" t="n"/>
      <c r="K42" s="65" t="n"/>
      <c r="L42" s="65" t="n"/>
      <c r="M42" s="65" t="n"/>
      <c r="N42" s="64" t="n"/>
      <c r="O42" s="67" t="n"/>
      <c r="P42" s="53">
        <f>IF($E42="","",IF(N42="Completed","Green",IF(OR(I42="",J42=""),"Not Planned",IF(TODAY()&gt;J42,"Red",IF(TODAY()+14&gt;J42,"Amber","Green")))))</f>
        <v/>
      </c>
      <c r="Q42" s="65" t="n"/>
    </row>
    <row r="43" ht="15" customHeight="1" s="37">
      <c r="A43" s="53">
        <f>IF($E43="","","WP-"&amp;TEXT(ROW()-5,"000"))</f>
        <v/>
      </c>
      <c r="B43" s="65" t="n"/>
      <c r="C43" s="65" t="n"/>
      <c r="D43" s="65" t="n"/>
      <c r="E43" s="65" t="n"/>
      <c r="F43" s="64" t="n"/>
      <c r="G43" s="64" t="n"/>
      <c r="H43" s="65" t="n"/>
      <c r="I43" s="66" t="n"/>
      <c r="J43" s="66" t="n"/>
      <c r="K43" s="65" t="n"/>
      <c r="L43" s="65" t="n"/>
      <c r="M43" s="65" t="n"/>
      <c r="N43" s="64" t="n"/>
      <c r="O43" s="67" t="n"/>
      <c r="P43" s="53">
        <f>IF($E43="","",IF(N43="Completed","Green",IF(OR(I43="",J43=""),"Not Planned",IF(TODAY()&gt;J43,"Red",IF(TODAY()+14&gt;J43,"Amber","Green")))))</f>
        <v/>
      </c>
      <c r="Q43" s="65" t="n"/>
    </row>
    <row r="44" ht="15" customHeight="1" s="37">
      <c r="A44" s="53">
        <f>IF($E44="","","WP-"&amp;TEXT(ROW()-5,"000"))</f>
        <v/>
      </c>
      <c r="B44" s="65" t="n"/>
      <c r="C44" s="65" t="n"/>
      <c r="D44" s="65" t="n"/>
      <c r="E44" s="65" t="n"/>
      <c r="F44" s="64" t="n"/>
      <c r="G44" s="64" t="n"/>
      <c r="H44" s="65" t="n"/>
      <c r="I44" s="66" t="n"/>
      <c r="J44" s="66" t="n"/>
      <c r="K44" s="65" t="n"/>
      <c r="L44" s="65" t="n"/>
      <c r="M44" s="65" t="n"/>
      <c r="N44" s="64" t="n"/>
      <c r="O44" s="67" t="n"/>
      <c r="P44" s="53">
        <f>IF($E44="","",IF(N44="Completed","Green",IF(OR(I44="",J44=""),"Not Planned",IF(TODAY()&gt;J44,"Red",IF(TODAY()+14&gt;J44,"Amber","Green")))))</f>
        <v/>
      </c>
      <c r="Q44" s="65" t="n"/>
    </row>
    <row r="45" ht="15" customHeight="1" s="37">
      <c r="A45" s="53">
        <f>IF($E45="","","WP-"&amp;TEXT(ROW()-5,"000"))</f>
        <v/>
      </c>
      <c r="B45" s="65" t="n"/>
      <c r="C45" s="65" t="n"/>
      <c r="D45" s="65" t="n"/>
      <c r="E45" s="65" t="n"/>
      <c r="F45" s="64" t="n"/>
      <c r="G45" s="64" t="n"/>
      <c r="H45" s="65" t="n"/>
      <c r="I45" s="66" t="n"/>
      <c r="J45" s="66" t="n"/>
      <c r="K45" s="65" t="n"/>
      <c r="L45" s="65" t="n"/>
      <c r="M45" s="65" t="n"/>
      <c r="N45" s="64" t="n"/>
      <c r="O45" s="67" t="n"/>
      <c r="P45" s="53">
        <f>IF($E45="","",IF(N45="Completed","Green",IF(OR(I45="",J45=""),"Not Planned",IF(TODAY()&gt;J45,"Red",IF(TODAY()+14&gt;J45,"Amber","Green")))))</f>
        <v/>
      </c>
      <c r="Q45" s="65" t="n"/>
    </row>
  </sheetData>
  <sheetProtection selectLockedCells="0" selectUnlockedCells="0" sheet="1" objects="0" insertRows="0" insertHyperlinks="1" autoFilter="0" scenarios="0" formatColumns="0" deleteColumns="1" insertColumns="1" pivotTables="1" deleteRows="0" formatCells="0" formatRows="0" sort="0"/>
  <conditionalFormatting sqref="P6:P45">
    <cfRule type="expression" rank="0" priority="2" equalAverage="0" aboveAverage="0" dxfId="4" text="" percent="0" bottom="0">
      <formula>$P6="Green"</formula>
    </cfRule>
    <cfRule type="expression" rank="0" priority="3" equalAverage="0" aboveAverage="0" dxfId="5" text="" percent="0" bottom="0">
      <formula>$P6="Amber"</formula>
    </cfRule>
    <cfRule type="expression" rank="0" priority="4" equalAverage="0" aboveAverage="0" dxfId="3" text="" percent="0" bottom="0">
      <formula>$P6="Red"</formula>
    </cfRule>
    <cfRule type="expression" rank="0" priority="5" equalAverage="0" aboveAverage="0" dxfId="21" text="" percent="0" bottom="0">
      <formula>$P6="Not Planned"</formula>
    </cfRule>
  </conditionalFormatting>
  <conditionalFormatting sqref="N6:N45">
    <cfRule type="expression" rank="0" priority="6" equalAverage="0" aboveAverage="0" dxfId="4" text="" percent="0" bottom="0">
      <formula>$N6="Completed"</formula>
    </cfRule>
    <cfRule type="expression" rank="0" priority="7" equalAverage="0" aboveAverage="0" dxfId="22" text="" percent="0" bottom="0">
      <formula>$N6="In Progress"</formula>
    </cfRule>
    <cfRule type="expression" rank="0" priority="8" equalAverage="0" aboveAverage="0" dxfId="3" text="" percent="0" bottom="0">
      <formula>$N6="Blocked"</formula>
    </cfRule>
  </conditionalFormatting>
  <conditionalFormatting sqref="G6:G45">
    <cfRule type="expression" rank="0" priority="9" equalAverage="0" aboveAverage="0" dxfId="3" text="" percent="0" bottom="0">
      <formula>$G6="High"</formula>
    </cfRule>
  </conditionalFormatting>
  <conditionalFormatting sqref="O6:O45">
    <cfRule type="dataBar" priority="10">
      <dataBar minLength="10" maxLength="90" showValue="1">
        <cfvo type="num" val="0"/>
        <cfvo type="num" val="1"/>
        <color rgb="FF4472C4"/>
      </dataBar>
    </cfRule>
  </conditionalFormatting>
  <conditionalFormatting sqref="A6:Q45">
    <cfRule type="expression" rank="0" priority="11" equalAverage="0" aboveAverage="0" dxfId="6" text="" percent="0" bottom="0">
      <formula>$E6=""</formula>
    </cfRule>
  </conditionalFormatting>
  <dataValidations count="7">
    <dataValidation sqref="O6:O45" showDropDown="0" showInputMessage="0" showErrorMessage="0" allowBlank="1" errorTitle="Invalid progress" error="Enter a percentage between 0% and 100%." type="decimal" errorStyle="stop" operator="between">
      <formula1>0</formula1>
      <formula2>1</formula2>
    </dataValidation>
    <dataValidation sqref="C6:C45" showDropDown="0" showInputMessage="0" showErrorMessage="0" allowBlank="1" errorTitle="Invalid entry" error="Please choose a value from the drop-down list (maintained on the Lists sheet)." type="list" errorStyle="stop" operator="between">
      <formula1>lstEntity</formula1>
      <formula2>0</formula2>
    </dataValidation>
    <dataValidation sqref="D6:D45" showDropDown="0" showInputMessage="0" showErrorMessage="0" allowBlank="1" errorTitle="Invalid entry" error="Please choose a value from the drop-down list (maintained on the Lists sheet)." type="list" errorStyle="stop" operator="between">
      <formula1>lstArea</formula1>
      <formula2>0</formula2>
    </dataValidation>
    <dataValidation sqref="F6:F45" showDropDown="0" showInputMessage="0" showErrorMessage="0" allowBlank="1" errorTitle="Invalid entry" error="Please choose a value from the drop-down list (maintained on the Lists sheet)." type="list" errorStyle="stop" operator="between">
      <formula1>lstScope</formula1>
      <formula2>0</formula2>
    </dataValidation>
    <dataValidation sqref="G6:G45" showDropDown="0" showInputMessage="0" showErrorMessage="0" allowBlank="1" errorTitle="Invalid entry" error="Please choose a value from the drop-down list (maintained on the Lists sheet)." type="list" errorStyle="stop" operator="between">
      <formula1>lstPriority</formula1>
      <formula2>0</formula2>
    </dataValidation>
    <dataValidation sqref="H6:H45" showDropDown="0" showInputMessage="0" showErrorMessage="0" allowBlank="1" errorTitle="Invalid entry" error="Please choose a value from the drop-down list (maintained on the Lists sheet)." type="list" errorStyle="stop" operator="between">
      <formula1>lstOwner</formula1>
      <formula2>0</formula2>
    </dataValidation>
    <dataValidation sqref="N6:N45" showDropDown="0" showInputMessage="0" showErrorMessage="0" allowBlank="1" errorTitle="Invalid entry" error="Please choose a value from the drop-down list (maintained on the Lists sheet)." type="list" errorStyle="stop" operator="between">
      <formula1>lstStatus</formula1>
      <formula2>0</formula2>
    </dataValidation>
  </dataValidations>
  <printOptions horizontalCentered="1" verticalCentered="0" headings="0" gridLines="0" gridLinesSet="1"/>
  <pageMargins left="0.75" right="0.75" top="1" bottom="1" header="0.5" footer="0.5"/>
  <pageSetup orientation="landscape" paperSize="8" scale="100" fitToHeight="0" fitToWidth="1" pageOrder="downThenOver" blackAndWhite="0" draft="0" horizontalDpi="300" verticalDpi="300" copies="1"/>
  <headerFooter differentOddEven="0" differentFirst="0">
    <oddHeader>&amp;R&amp;8 Internal use</oddHeader>
    <oddFooter>&amp;L&amp;8 NIS2 Group Implementation Project&amp;R&amp;8 Page &amp;P of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filterMode="0">
    <outlinePr summaryBelow="1" summaryRight="1"/>
    <pageSetUpPr fitToPage="1"/>
  </sheetPr>
  <dimension ref="A1:L44"/>
  <sheetViews>
    <sheetView showFormulas="0" showGridLines="1" showRowColHeaders="1" showZeros="1" rightToLeft="0" tabSelected="1"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B16" activeCellId="0" sqref="B16"/>
    </sheetView>
  </sheetViews>
  <sheetFormatPr baseColWidth="8" defaultColWidth="8.71484375" defaultRowHeight="15" zeroHeight="0" outlineLevelRow="0"/>
  <cols>
    <col width="30" customWidth="1" style="36" min="1" max="1"/>
    <col width="19.57" customWidth="1" style="36" min="2" max="2"/>
    <col width="25.42" customWidth="1" style="36" min="3" max="3"/>
    <col width="23.42" customWidth="1" style="36" min="4" max="4"/>
    <col width="26.15" customWidth="1" style="36" min="5" max="5"/>
    <col width="26.42" customWidth="1" style="36" min="6" max="6"/>
    <col width="19.86" customWidth="1" style="36" min="7" max="7"/>
    <col width="20" customWidth="1" style="36" min="8" max="8"/>
    <col width="20.71" customWidth="1" style="36" min="9" max="9"/>
    <col width="19.14" customWidth="1" style="36" min="10" max="10"/>
    <col width="15" customWidth="1" style="36" min="11" max="12"/>
  </cols>
  <sheetData>
    <row r="1" ht="20.25" customHeight="1" s="37">
      <c r="A1" s="38" t="inlineStr">
        <is>
          <t>NIS2 Group Implementation Project</t>
        </is>
      </c>
    </row>
    <row r="2" ht="15.75" customHeight="1" s="37">
      <c r="A2" s="39" t="inlineStr">
        <is>
          <t>Governance, Gates and RACI</t>
        </is>
      </c>
    </row>
    <row r="3" ht="15" customHeight="1" s="37">
      <c r="A3" s="40" t="inlineStr">
        <is>
          <t>Gate dates are maintained here only; the Master Plan reads them automatically.</t>
        </is>
      </c>
    </row>
    <row r="4" ht="3" customHeight="1" s="37">
      <c r="A4" s="41" t="n"/>
      <c r="B4" s="41" t="n"/>
      <c r="C4" s="41" t="n"/>
      <c r="D4" s="41" t="n"/>
      <c r="E4" s="41" t="n"/>
      <c r="F4" s="41" t="n"/>
      <c r="G4" s="41" t="n"/>
      <c r="H4" s="41" t="n"/>
      <c r="I4" s="41" t="n"/>
      <c r="J4" s="41" t="n"/>
      <c r="K4" s="41" t="n"/>
      <c r="L4" s="41" t="n"/>
    </row>
    <row r="5" ht="30" customHeight="1" s="37">
      <c r="A5" s="42" t="inlineStr">
        <is>
          <t>Gate</t>
        </is>
      </c>
      <c r="B5" s="42" t="inlineStr">
        <is>
          <t>Planned Date</t>
        </is>
      </c>
      <c r="C5" s="42" t="inlineStr">
        <is>
          <t>Decision</t>
        </is>
      </c>
      <c r="D5" s="42" t="inlineStr">
        <is>
          <t>Decision Owner</t>
        </is>
      </c>
      <c r="E5" s="42" t="inlineStr">
        <is>
          <t>Required Input</t>
        </is>
      </c>
      <c r="F5" s="42" t="inlineStr">
        <is>
          <t>Approval Criterion</t>
        </is>
      </c>
      <c r="G5" s="42" t="inlineStr">
        <is>
          <t>Status</t>
        </is>
      </c>
      <c r="H5" s="42" t="inlineStr">
        <is>
          <t>Decision Reference</t>
        </is>
      </c>
      <c r="I5" s="42" t="inlineStr">
        <is>
          <t>Activities</t>
        </is>
      </c>
      <c r="J5" s="42" t="inlineStr">
        <is>
          <t>Open Activities</t>
        </is>
      </c>
    </row>
    <row r="6" ht="25.5" customHeight="1" s="37">
      <c r="A6" s="68" t="inlineStr">
        <is>
          <t>Gate 1</t>
        </is>
      </c>
      <c r="B6" s="66" t="n">
        <v>46311</v>
      </c>
      <c r="C6" s="65" t="inlineStr">
        <is>
          <t>Approve project charter, assessment method, benchmark and target levels</t>
        </is>
      </c>
      <c r="D6" s="65" t="inlineStr">
        <is>
          <t>Management Board</t>
        </is>
      </c>
      <c r="E6" s="65" t="inlineStr">
        <is>
          <t>Scope; roles; schedule; assessment method; applied benchmark; chapter target levels</t>
        </is>
      </c>
      <c r="F6" s="65" t="inlineStr">
        <is>
          <t>Scope and responsibilities confirmed; required participants available; benchmark and target levels recorded as a management decision</t>
        </is>
      </c>
      <c r="G6" s="64" t="inlineStr">
        <is>
          <t>Not Started</t>
        </is>
      </c>
      <c r="H6" s="65" t="n"/>
      <c r="I6" s="53">
        <f>COUNTIF('Master Plan'!$K$6:$K$40,$A6)</f>
        <v/>
      </c>
      <c r="J6" s="53">
        <f>COUNTIFS('Master Plan'!$K$6:$K$40,$A6,'Master Plan'!$M$6:$M$40,"&lt;&gt;Completed")</f>
        <v/>
      </c>
    </row>
    <row r="7" ht="25.5" customHeight="1" s="37">
      <c r="A7" s="68" t="inlineStr">
        <is>
          <t>Gate 2</t>
        </is>
      </c>
      <c r="B7" s="66" t="n">
        <v>46507</v>
      </c>
      <c r="C7" s="65" t="inlineStr">
        <is>
          <t>Accept consolidated GAP findings</t>
        </is>
      </c>
      <c r="D7" s="65" t="inlineStr">
        <is>
          <t>Management Board</t>
        </is>
      </c>
      <c r="E7" s="65" t="inlineStr">
        <is>
          <t>Validated findings; legal input; cross-entity analysis</t>
        </is>
      </c>
      <c r="F7" s="65" t="inlineStr">
        <is>
          <t>Material findings are complete, understandable and supported by evidence</t>
        </is>
      </c>
      <c r="G7" s="64" t="inlineStr">
        <is>
          <t>Not Started</t>
        </is>
      </c>
      <c r="H7" s="65" t="n"/>
      <c r="I7" s="53">
        <f>COUNTIF('Master Plan'!$K$6:$K$40,$A7)</f>
        <v/>
      </c>
      <c r="J7" s="53">
        <f>COUNTIFS('Master Plan'!$K$6:$K$40,$A7,'Master Plan'!$M$6:$M$40,"&lt;&gt;Completed")</f>
        <v/>
      </c>
    </row>
    <row r="8" ht="25.5" customHeight="1" s="37">
      <c r="A8" s="68" t="inlineStr">
        <is>
          <t>Gate 3</t>
        </is>
      </c>
      <c r="B8" s="66" t="n">
        <v>46521</v>
      </c>
      <c r="C8" s="65" t="inlineStr">
        <is>
          <t>Approve remediation portfolio and resources</t>
        </is>
      </c>
      <c r="D8" s="65" t="inlineStr">
        <is>
          <t>Management Board</t>
        </is>
      </c>
      <c r="E8" s="65" t="inlineStr">
        <is>
          <t>Proposed work packages; priorities; ownership; resource needs</t>
        </is>
      </c>
      <c r="F8" s="65" t="inlineStr">
        <is>
          <t>High-priority and reusable central measures funded and assigned</t>
        </is>
      </c>
      <c r="G8" s="64" t="inlineStr">
        <is>
          <t>Not Started</t>
        </is>
      </c>
      <c r="H8" s="65" t="n"/>
      <c r="I8" s="53">
        <f>COUNTIF('Master Plan'!$K$6:$K$40,$A8)</f>
        <v/>
      </c>
      <c r="J8" s="53">
        <f>COUNTIFS('Master Plan'!$K$6:$K$40,$A8,'Master Plan'!$M$6:$M$40,"&lt;&gt;Completed")</f>
        <v/>
      </c>
    </row>
    <row r="9" ht="25.5" customHeight="1" s="37">
      <c r="A9" s="68" t="inlineStr">
        <is>
          <t>Gate 4</t>
        </is>
      </c>
      <c r="B9" s="66" t="n">
        <v>46630</v>
      </c>
      <c r="C9" s="65" t="inlineStr">
        <is>
          <t>Review High-priority implementation</t>
        </is>
      </c>
      <c r="D9" s="65" t="inlineStr">
        <is>
          <t>Steering Committee</t>
        </is>
      </c>
      <c r="E9" s="65" t="inlineStr">
        <is>
          <t>Work-package status; evidence; blockers; overdue actions</t>
        </is>
      </c>
      <c r="F9" s="65" t="inlineStr">
        <is>
          <t>High-priority measures completed or supported by approved recovery plans</t>
        </is>
      </c>
      <c r="G9" s="64" t="inlineStr">
        <is>
          <t>Not Started</t>
        </is>
      </c>
      <c r="H9" s="65" t="n"/>
      <c r="I9" s="53">
        <f>COUNTIF('Master Plan'!$K$6:$K$40,$A9)</f>
        <v/>
      </c>
      <c r="J9" s="53">
        <f>COUNTIFS('Master Plan'!$K$6:$K$40,$A9,'Master Plan'!$M$6:$M$40,"&lt;&gt;Completed")</f>
        <v/>
      </c>
    </row>
    <row r="10" ht="25.5" customHeight="1" s="37">
      <c r="A10" s="68" t="inlineStr">
        <is>
          <t>Gate 5</t>
        </is>
      </c>
      <c r="B10" s="66" t="n">
        <v>46703</v>
      </c>
      <c r="C10" s="65" t="inlineStr">
        <is>
          <t>Accept residual risks and unresolved exceptions</t>
        </is>
      </c>
      <c r="D10" s="65" t="inlineStr">
        <is>
          <t>Management Board</t>
        </is>
      </c>
      <c r="E10" s="65" t="inlineStr">
        <is>
          <t>Effectiveness results; unresolved gaps; risk recommendations</t>
        </is>
      </c>
      <c r="F10" s="65" t="inlineStr">
        <is>
          <t>Residual risks have named owners and documented decisions</t>
        </is>
      </c>
      <c r="G10" s="64" t="inlineStr">
        <is>
          <t>Not Started</t>
        </is>
      </c>
      <c r="H10" s="65" t="n"/>
      <c r="I10" s="53">
        <f>COUNTIF('Master Plan'!$K$6:$K$40,$A10)</f>
        <v/>
      </c>
      <c r="J10" s="53">
        <f>COUNTIFS('Master Plan'!$K$6:$K$40,$A10,'Master Plan'!$M$6:$M$40,"&lt;&gt;Completed")</f>
        <v/>
      </c>
    </row>
    <row r="11" ht="25.5" customHeight="1" s="37">
      <c r="A11" s="68" t="inlineStr">
        <is>
          <t>Gate 6</t>
        </is>
      </c>
      <c r="B11" s="66" t="n">
        <v>46721</v>
      </c>
      <c r="C11" s="65" t="inlineStr">
        <is>
          <t>Close project and transfer controls to operations</t>
        </is>
      </c>
      <c r="D11" s="65" t="inlineStr">
        <is>
          <t>Management Board</t>
        </is>
      </c>
      <c r="E11" s="65" t="inlineStr">
        <is>
          <t>Closure report; evidence status; ongoing ownership</t>
        </is>
      </c>
      <c r="F11" s="65" t="inlineStr">
        <is>
          <t>NIS2 measures implemented, verified or formally accepted</t>
        </is>
      </c>
      <c r="G11" s="64" t="inlineStr">
        <is>
          <t>Not Started</t>
        </is>
      </c>
      <c r="H11" s="65" t="n"/>
      <c r="I11" s="53">
        <f>COUNTIF('Master Plan'!$K$6:$K$40,$A11)</f>
        <v/>
      </c>
      <c r="J11" s="53">
        <f>COUNTIFS('Master Plan'!$K$6:$K$40,$A11,'Master Plan'!$M$6:$M$40,"&lt;&gt;Completed")</f>
        <v/>
      </c>
    </row>
    <row r="14" ht="15.75" customHeight="1" s="37">
      <c r="A14" s="39" t="inlineStr">
        <is>
          <t>RACI Matrix</t>
        </is>
      </c>
    </row>
    <row r="15" ht="30" customHeight="1" s="37">
      <c r="A15" s="42" t="inlineStr">
        <is>
          <t>Activity</t>
        </is>
      </c>
      <c r="B15" s="42" t="inlineStr">
        <is>
          <t>Management Board</t>
        </is>
      </c>
      <c r="C15" s="42" t="inlineStr">
        <is>
          <t>Information Security Officer</t>
        </is>
      </c>
      <c r="D15" s="42" t="inlineStr">
        <is>
          <t>IT Coordinator</t>
        </is>
      </c>
      <c r="E15" s="42" t="inlineStr">
        <is>
          <t>Central IT</t>
        </is>
      </c>
      <c r="F15" s="42" t="inlineStr">
        <is>
          <t>Local IT / MSP</t>
        </is>
      </c>
      <c r="G15" s="42" t="inlineStr">
        <is>
          <t>DPO</t>
        </is>
      </c>
      <c r="H15" s="42" t="inlineStr">
        <is>
          <t>HR</t>
        </is>
      </c>
      <c r="I15" s="42" t="inlineStr">
        <is>
          <t>IT Procurement</t>
        </is>
      </c>
      <c r="J15" s="42" t="inlineStr">
        <is>
          <t>OT</t>
        </is>
      </c>
      <c r="K15" s="42" t="inlineStr">
        <is>
          <t>DE Adviser</t>
        </is>
      </c>
      <c r="L15" s="42" t="inlineStr">
        <is>
          <t>NL Adviser</t>
        </is>
      </c>
    </row>
    <row r="16" ht="15" customHeight="1" s="37">
      <c r="A16" s="65" t="inlineStr">
        <is>
          <t>Project charter and scope</t>
        </is>
      </c>
      <c r="B16" s="64" t="inlineStr">
        <is>
          <t>A</t>
        </is>
      </c>
      <c r="C16" s="64" t="inlineStr">
        <is>
          <t>R</t>
        </is>
      </c>
      <c r="D16" s="64" t="inlineStr">
        <is>
          <t>C</t>
        </is>
      </c>
      <c r="E16" s="64" t="inlineStr">
        <is>
          <t>I</t>
        </is>
      </c>
      <c r="F16" s="64" t="inlineStr">
        <is>
          <t>I</t>
        </is>
      </c>
      <c r="G16" s="64" t="inlineStr">
        <is>
          <t>C</t>
        </is>
      </c>
      <c r="H16" s="64" t="inlineStr">
        <is>
          <t>I</t>
        </is>
      </c>
      <c r="I16" s="64" t="inlineStr">
        <is>
          <t>I</t>
        </is>
      </c>
      <c r="J16" s="64" t="inlineStr">
        <is>
          <t>I</t>
        </is>
      </c>
      <c r="K16" s="64" t="inlineStr">
        <is>
          <t>C</t>
        </is>
      </c>
      <c r="L16" s="64" t="inlineStr">
        <is>
          <t>C</t>
        </is>
      </c>
    </row>
    <row r="17" ht="15" customHeight="1" s="37">
      <c r="A17" s="65" t="inlineStr">
        <is>
          <t>Assessment method</t>
        </is>
      </c>
      <c r="B17" s="64" t="inlineStr">
        <is>
          <t>I</t>
        </is>
      </c>
      <c r="C17" s="64" t="inlineStr">
        <is>
          <t>A/R</t>
        </is>
      </c>
      <c r="D17" s="64" t="inlineStr">
        <is>
          <t>C</t>
        </is>
      </c>
      <c r="E17" s="64" t="inlineStr">
        <is>
          <t>C</t>
        </is>
      </c>
      <c r="F17" s="64" t="inlineStr">
        <is>
          <t>C</t>
        </is>
      </c>
      <c r="G17" s="64" t="inlineStr">
        <is>
          <t>C</t>
        </is>
      </c>
      <c r="H17" s="64" t="inlineStr">
        <is>
          <t>I</t>
        </is>
      </c>
      <c r="I17" s="64" t="inlineStr">
        <is>
          <t>I</t>
        </is>
      </c>
      <c r="J17" s="64" t="inlineStr">
        <is>
          <t>C</t>
        </is>
      </c>
      <c r="K17" s="64" t="inlineStr">
        <is>
          <t>C</t>
        </is>
      </c>
      <c r="L17" s="64" t="inlineStr">
        <is>
          <t>C</t>
        </is>
      </c>
    </row>
    <row r="18" ht="15" customHeight="1" s="37">
      <c r="A18" s="65" t="inlineStr">
        <is>
          <t>Evidence collection</t>
        </is>
      </c>
      <c r="B18" s="64" t="inlineStr">
        <is>
          <t>I</t>
        </is>
      </c>
      <c r="C18" s="64" t="inlineStr">
        <is>
          <t>A</t>
        </is>
      </c>
      <c r="D18" s="64" t="inlineStr">
        <is>
          <t>C</t>
        </is>
      </c>
      <c r="E18" s="64" t="inlineStr">
        <is>
          <t>R</t>
        </is>
      </c>
      <c r="F18" s="64" t="inlineStr">
        <is>
          <t>R</t>
        </is>
      </c>
      <c r="G18" s="64" t="inlineStr">
        <is>
          <t>R</t>
        </is>
      </c>
      <c r="H18" s="64" t="inlineStr">
        <is>
          <t>R</t>
        </is>
      </c>
      <c r="I18" s="64" t="inlineStr">
        <is>
          <t>R</t>
        </is>
      </c>
      <c r="J18" s="64" t="inlineStr">
        <is>
          <t>R</t>
        </is>
      </c>
      <c r="K18" s="64" t="inlineStr">
        <is>
          <t>C</t>
        </is>
      </c>
      <c r="L18" s="64" t="inlineStr">
        <is>
          <t>C</t>
        </is>
      </c>
    </row>
    <row r="19" ht="15" customHeight="1" s="37">
      <c r="A19" s="65" t="inlineStr">
        <is>
          <t>Remote assessment interviews</t>
        </is>
      </c>
      <c r="B19" s="64" t="inlineStr">
        <is>
          <t>I</t>
        </is>
      </c>
      <c r="C19" s="64" t="inlineStr">
        <is>
          <t>A/R</t>
        </is>
      </c>
      <c r="D19" s="64" t="inlineStr">
        <is>
          <t>C</t>
        </is>
      </c>
      <c r="E19" s="64" t="inlineStr">
        <is>
          <t>R</t>
        </is>
      </c>
      <c r="F19" s="64" t="inlineStr">
        <is>
          <t>R</t>
        </is>
      </c>
      <c r="G19" s="64" t="inlineStr">
        <is>
          <t>R</t>
        </is>
      </c>
      <c r="H19" s="64" t="inlineStr">
        <is>
          <t>C</t>
        </is>
      </c>
      <c r="I19" s="64" t="inlineStr">
        <is>
          <t>C</t>
        </is>
      </c>
      <c r="J19" s="64" t="inlineStr">
        <is>
          <t>R</t>
        </is>
      </c>
      <c r="K19" s="64" t="inlineStr">
        <is>
          <t>C</t>
        </is>
      </c>
      <c r="L19" s="64" t="inlineStr">
        <is>
          <t>C</t>
        </is>
      </c>
    </row>
    <row r="20" ht="15" customHeight="1" s="37">
      <c r="A20" s="65" t="inlineStr">
        <is>
          <t>Finding validation</t>
        </is>
      </c>
      <c r="B20" s="64" t="inlineStr">
        <is>
          <t>I</t>
        </is>
      </c>
      <c r="C20" s="64" t="inlineStr">
        <is>
          <t>A/R</t>
        </is>
      </c>
      <c r="D20" s="64" t="inlineStr">
        <is>
          <t>C</t>
        </is>
      </c>
      <c r="E20" s="64" t="inlineStr">
        <is>
          <t>R</t>
        </is>
      </c>
      <c r="F20" s="64" t="inlineStr">
        <is>
          <t>R</t>
        </is>
      </c>
      <c r="G20" s="64" t="inlineStr">
        <is>
          <t>C</t>
        </is>
      </c>
      <c r="H20" s="64" t="inlineStr">
        <is>
          <t>I</t>
        </is>
      </c>
      <c r="I20" s="64" t="inlineStr">
        <is>
          <t>I</t>
        </is>
      </c>
      <c r="J20" s="64" t="inlineStr">
        <is>
          <t>C</t>
        </is>
      </c>
      <c r="K20" s="64" t="inlineStr">
        <is>
          <t>C</t>
        </is>
      </c>
      <c r="L20" s="64" t="inlineStr">
        <is>
          <t>I</t>
        </is>
      </c>
    </row>
    <row r="21" ht="15" customHeight="1" s="37">
      <c r="A21" s="65" t="inlineStr">
        <is>
          <t>Work-package design</t>
        </is>
      </c>
      <c r="B21" s="64" t="inlineStr">
        <is>
          <t>I</t>
        </is>
      </c>
      <c r="C21" s="64" t="inlineStr">
        <is>
          <t>A/R</t>
        </is>
      </c>
      <c r="D21" s="64" t="inlineStr">
        <is>
          <t>C</t>
        </is>
      </c>
      <c r="E21" s="64" t="inlineStr">
        <is>
          <t>R</t>
        </is>
      </c>
      <c r="F21" s="64" t="inlineStr">
        <is>
          <t>R</t>
        </is>
      </c>
      <c r="G21" s="64" t="inlineStr">
        <is>
          <t>C</t>
        </is>
      </c>
      <c r="H21" s="64" t="inlineStr">
        <is>
          <t>C</t>
        </is>
      </c>
      <c r="I21" s="64" t="inlineStr">
        <is>
          <t>C</t>
        </is>
      </c>
      <c r="J21" s="64" t="inlineStr">
        <is>
          <t>C</t>
        </is>
      </c>
      <c r="K21" s="64" t="inlineStr">
        <is>
          <t>C</t>
        </is>
      </c>
      <c r="L21" s="64" t="inlineStr">
        <is>
          <t>C</t>
        </is>
      </c>
    </row>
    <row r="22" ht="15" customHeight="1" s="37">
      <c r="A22" s="65" t="inlineStr">
        <is>
          <t>Priority and budget approval</t>
        </is>
      </c>
      <c r="B22" s="64" t="inlineStr">
        <is>
          <t>A</t>
        </is>
      </c>
      <c r="C22" s="64" t="inlineStr">
        <is>
          <t>R</t>
        </is>
      </c>
      <c r="D22" s="64" t="inlineStr">
        <is>
          <t>C</t>
        </is>
      </c>
      <c r="E22" s="64" t="inlineStr">
        <is>
          <t>C</t>
        </is>
      </c>
      <c r="F22" s="64" t="inlineStr">
        <is>
          <t>C</t>
        </is>
      </c>
      <c r="G22" s="64" t="inlineStr">
        <is>
          <t>C</t>
        </is>
      </c>
      <c r="H22" s="64" t="inlineStr">
        <is>
          <t>I</t>
        </is>
      </c>
      <c r="I22" s="64" t="inlineStr">
        <is>
          <t>I</t>
        </is>
      </c>
      <c r="J22" s="64" t="inlineStr">
        <is>
          <t>I</t>
        </is>
      </c>
      <c r="K22" s="64" t="inlineStr">
        <is>
          <t>I</t>
        </is>
      </c>
      <c r="L22" s="64" t="inlineStr">
        <is>
          <t>I</t>
        </is>
      </c>
    </row>
    <row r="23" ht="15" customHeight="1" s="37">
      <c r="A23" s="65" t="inlineStr">
        <is>
          <t>Technical implementation</t>
        </is>
      </c>
      <c r="B23" s="64" t="inlineStr">
        <is>
          <t>I</t>
        </is>
      </c>
      <c r="C23" s="64" t="inlineStr">
        <is>
          <t>C</t>
        </is>
      </c>
      <c r="D23" s="64" t="inlineStr">
        <is>
          <t>A</t>
        </is>
      </c>
      <c r="E23" s="64" t="inlineStr">
        <is>
          <t>R</t>
        </is>
      </c>
      <c r="F23" s="64" t="inlineStr">
        <is>
          <t>R</t>
        </is>
      </c>
      <c r="G23" s="64" t="inlineStr">
        <is>
          <t>I</t>
        </is>
      </c>
      <c r="H23" s="64" t="inlineStr">
        <is>
          <t>I</t>
        </is>
      </c>
      <c r="I23" s="64" t="inlineStr">
        <is>
          <t>C</t>
        </is>
      </c>
      <c r="J23" s="64" t="inlineStr">
        <is>
          <t>R</t>
        </is>
      </c>
      <c r="K23" s="64" t="inlineStr">
        <is>
          <t>I</t>
        </is>
      </c>
      <c r="L23" s="64" t="inlineStr">
        <is>
          <t>I</t>
        </is>
      </c>
    </row>
    <row r="24" ht="15" customHeight="1" s="37">
      <c r="A24" s="65" t="inlineStr">
        <is>
          <t>Policy and process implementation</t>
        </is>
      </c>
      <c r="B24" s="64" t="inlineStr">
        <is>
          <t>I</t>
        </is>
      </c>
      <c r="C24" s="64" t="inlineStr">
        <is>
          <t>A/R</t>
        </is>
      </c>
      <c r="D24" s="64" t="inlineStr">
        <is>
          <t>C</t>
        </is>
      </c>
      <c r="E24" s="64" t="inlineStr">
        <is>
          <t>C</t>
        </is>
      </c>
      <c r="F24" s="64" t="inlineStr">
        <is>
          <t>C</t>
        </is>
      </c>
      <c r="G24" s="64" t="inlineStr">
        <is>
          <t>C</t>
        </is>
      </c>
      <c r="H24" s="64" t="inlineStr">
        <is>
          <t>C</t>
        </is>
      </c>
      <c r="I24" s="64" t="inlineStr">
        <is>
          <t>C</t>
        </is>
      </c>
      <c r="J24" s="64" t="inlineStr">
        <is>
          <t>C</t>
        </is>
      </c>
      <c r="K24" s="64" t="inlineStr">
        <is>
          <t>C</t>
        </is>
      </c>
      <c r="L24" s="64" t="inlineStr">
        <is>
          <t>C</t>
        </is>
      </c>
    </row>
    <row r="25" ht="25.5" customHeight="1" s="37">
      <c r="A25" s="65" t="inlineStr">
        <is>
          <t>Supplier and MSP measures</t>
        </is>
      </c>
      <c r="B25" s="64" t="inlineStr">
        <is>
          <t>I</t>
        </is>
      </c>
      <c r="C25" s="64" t="inlineStr">
        <is>
          <t>C</t>
        </is>
      </c>
      <c r="D25" s="64" t="inlineStr">
        <is>
          <t>C</t>
        </is>
      </c>
      <c r="E25" s="64" t="inlineStr">
        <is>
          <t>C</t>
        </is>
      </c>
      <c r="F25" s="64" t="inlineStr">
        <is>
          <t>R</t>
        </is>
      </c>
      <c r="G25" s="64" t="inlineStr">
        <is>
          <t>C</t>
        </is>
      </c>
      <c r="H25" s="64" t="inlineStr">
        <is>
          <t>I</t>
        </is>
      </c>
      <c r="I25" s="64" t="inlineStr">
        <is>
          <t>A/R</t>
        </is>
      </c>
      <c r="J25" s="64" t="inlineStr">
        <is>
          <t>I</t>
        </is>
      </c>
      <c r="K25" s="64" t="inlineStr">
        <is>
          <t>I</t>
        </is>
      </c>
      <c r="L25" s="64" t="inlineStr">
        <is>
          <t>C</t>
        </is>
      </c>
    </row>
    <row r="26" ht="15" customHeight="1" s="37">
      <c r="A26" s="65" t="inlineStr">
        <is>
          <t>Effectiveness review</t>
        </is>
      </c>
      <c r="B26" s="64" t="inlineStr">
        <is>
          <t>I</t>
        </is>
      </c>
      <c r="C26" s="64" t="inlineStr">
        <is>
          <t>A/R</t>
        </is>
      </c>
      <c r="D26" s="64" t="inlineStr">
        <is>
          <t>C</t>
        </is>
      </c>
      <c r="E26" s="64" t="inlineStr">
        <is>
          <t>R</t>
        </is>
      </c>
      <c r="F26" s="64" t="inlineStr">
        <is>
          <t>R</t>
        </is>
      </c>
      <c r="G26" s="64" t="inlineStr">
        <is>
          <t>C</t>
        </is>
      </c>
      <c r="H26" s="64" t="inlineStr">
        <is>
          <t>C</t>
        </is>
      </c>
      <c r="I26" s="64" t="inlineStr">
        <is>
          <t>C</t>
        </is>
      </c>
      <c r="J26" s="64" t="inlineStr">
        <is>
          <t>R</t>
        </is>
      </c>
      <c r="K26" s="64" t="inlineStr">
        <is>
          <t>C</t>
        </is>
      </c>
      <c r="L26" s="64" t="inlineStr">
        <is>
          <t>C</t>
        </is>
      </c>
    </row>
    <row r="27" ht="15" customHeight="1" s="37">
      <c r="A27" s="65" t="inlineStr">
        <is>
          <t>Residual-risk acceptance</t>
        </is>
      </c>
      <c r="B27" s="64" t="inlineStr">
        <is>
          <t>A</t>
        </is>
      </c>
      <c r="C27" s="64" t="inlineStr">
        <is>
          <t>R</t>
        </is>
      </c>
      <c r="D27" s="64" t="inlineStr">
        <is>
          <t>C</t>
        </is>
      </c>
      <c r="E27" s="64" t="inlineStr">
        <is>
          <t>C</t>
        </is>
      </c>
      <c r="F27" s="64" t="inlineStr">
        <is>
          <t>C</t>
        </is>
      </c>
      <c r="G27" s="64" t="inlineStr">
        <is>
          <t>C</t>
        </is>
      </c>
      <c r="H27" s="64" t="inlineStr">
        <is>
          <t>I</t>
        </is>
      </c>
      <c r="I27" s="64" t="inlineStr">
        <is>
          <t>I</t>
        </is>
      </c>
      <c r="J27" s="64" t="inlineStr">
        <is>
          <t>C</t>
        </is>
      </c>
      <c r="K27" s="64" t="inlineStr">
        <is>
          <t>C</t>
        </is>
      </c>
      <c r="L27" s="64" t="inlineStr">
        <is>
          <t>C</t>
        </is>
      </c>
    </row>
    <row r="28" ht="15" customHeight="1" s="37">
      <c r="A28" s="65" t="inlineStr">
        <is>
          <t>Project closure</t>
        </is>
      </c>
      <c r="B28" s="64" t="inlineStr">
        <is>
          <t>A</t>
        </is>
      </c>
      <c r="C28" s="64" t="inlineStr">
        <is>
          <t>R</t>
        </is>
      </c>
      <c r="D28" s="64" t="inlineStr">
        <is>
          <t>C</t>
        </is>
      </c>
      <c r="E28" s="64" t="inlineStr">
        <is>
          <t>I</t>
        </is>
      </c>
      <c r="F28" s="64" t="inlineStr">
        <is>
          <t>I</t>
        </is>
      </c>
      <c r="G28" s="64" t="inlineStr">
        <is>
          <t>C</t>
        </is>
      </c>
      <c r="H28" s="64" t="inlineStr">
        <is>
          <t>I</t>
        </is>
      </c>
      <c r="I28" s="64" t="inlineStr">
        <is>
          <t>I</t>
        </is>
      </c>
      <c r="J28" s="64" t="inlineStr">
        <is>
          <t>I</t>
        </is>
      </c>
      <c r="K28" s="64" t="inlineStr">
        <is>
          <t>I</t>
        </is>
      </c>
      <c r="L28" s="64" t="inlineStr">
        <is>
          <t>I</t>
        </is>
      </c>
    </row>
    <row r="29" ht="15" customHeight="1" s="37">
      <c r="A29" s="65" t="n"/>
      <c r="B29" s="64" t="n"/>
      <c r="C29" s="64" t="n"/>
      <c r="D29" s="64" t="n"/>
      <c r="E29" s="64" t="n"/>
      <c r="F29" s="64" t="n"/>
      <c r="G29" s="64" t="n"/>
      <c r="H29" s="64" t="n"/>
      <c r="I29" s="64" t="n"/>
      <c r="J29" s="64" t="n"/>
      <c r="K29" s="64" t="n"/>
      <c r="L29" s="64" t="n"/>
    </row>
    <row r="30"/>
    <row r="32" ht="15.75" customHeight="1" s="37">
      <c r="A32" s="39" t="inlineStr">
        <is>
          <t>Role Notes</t>
        </is>
      </c>
    </row>
    <row r="33" ht="30" customHeight="1" s="37">
      <c r="A33" s="42" t="inlineStr">
        <is>
          <t>Role</t>
        </is>
      </c>
      <c r="B33" s="42" t="inlineStr">
        <is>
          <t>Planning Note</t>
        </is>
      </c>
    </row>
    <row r="34" ht="15" customHeight="1" s="37">
      <c r="A34" s="69" t="inlineStr">
        <is>
          <t>Information Security Officer</t>
        </is>
      </c>
      <c r="B34" s="70" t="inlineStr">
        <is>
          <t>Overall project manager; prepares findings, recommendations and management decisions</t>
        </is>
      </c>
    </row>
    <row r="35" ht="15" customHeight="1" s="37">
      <c r="A35" s="69" t="inlineStr">
        <is>
          <t>Management Board</t>
        </is>
      </c>
      <c r="B35" s="70" t="inlineStr">
        <is>
          <t>Sponsor; approves material expenditure, priorities, risk treatment and residual risks</t>
        </is>
      </c>
    </row>
    <row r="36" ht="15" customHeight="1" s="37">
      <c r="A36" s="69" t="inlineStr">
        <is>
          <t>IT Coordinator</t>
        </is>
      </c>
      <c r="B36" s="70" t="inlineStr">
        <is>
          <t>Steering Committee member; coordinates technical ownership and dependencies</t>
        </is>
      </c>
    </row>
    <row r="37" ht="15" customHeight="1" s="37">
      <c r="A37" s="69" t="inlineStr">
        <is>
          <t>Data Protection Officer</t>
        </is>
      </c>
      <c r="B37" s="70" t="inlineStr">
        <is>
          <t>Steering Committee member; advises on privacy-related incidents and controls</t>
        </is>
      </c>
    </row>
    <row r="38" ht="15" customHeight="1" s="37">
      <c r="A38" s="69" t="inlineStr">
        <is>
          <t>German External Adviser</t>
        </is>
      </c>
      <c r="B38" s="70" t="inlineStr">
        <is>
          <t>Specialist support limited to approximately four hours per month</t>
        </is>
      </c>
    </row>
    <row r="39" ht="15" customHeight="1" s="37">
      <c r="A39" s="69" t="inlineStr">
        <is>
          <t>Dutch External Adviser</t>
        </is>
      </c>
      <c r="B39" s="70" t="inlineStr">
        <is>
          <t>Supports Dutch legal interpretation, entity-specific obligations and finding validation</t>
        </is>
      </c>
    </row>
    <row r="40" ht="15" customHeight="1" s="37">
      <c r="A40" s="69" t="inlineStr">
        <is>
          <t>Central IT</t>
        </is>
      </c>
      <c r="B40" s="70" t="inlineStr">
        <is>
          <t>Provides controls and evidence for HQ and for the subsidiaries that rely on central IT</t>
        </is>
      </c>
    </row>
    <row r="41" ht="15" customHeight="1" s="37">
      <c r="A41" s="69" t="inlineStr">
        <is>
          <t>MSP</t>
        </is>
      </c>
      <c r="B41" s="70" t="inlineStr">
        <is>
          <t>Provides controls, evidence and remediation for subsidiaries without internal IT</t>
        </is>
      </c>
    </row>
    <row r="42" ht="15" customHeight="1" s="37">
      <c r="A42" s="69" t="inlineStr">
        <is>
          <t>OT</t>
        </is>
      </c>
      <c r="B42" s="70" t="inlineStr">
        <is>
          <t>Owns or supports production and industrial-control-system requirements</t>
        </is>
      </c>
    </row>
    <row r="43" ht="15" customHeight="1" s="37">
      <c r="A43" s="69" t="inlineStr">
        <is>
          <t>IT Procurement</t>
        </is>
      </c>
      <c r="B43" s="70" t="inlineStr">
        <is>
          <t>Supports supplier inventories, contractual requirements and MSP governance</t>
        </is>
      </c>
    </row>
    <row r="44" ht="15" customHeight="1" s="37">
      <c r="A44" s="69" t="inlineStr">
        <is>
          <t>HR</t>
        </is>
      </c>
      <c r="B44" s="70" t="inlineStr">
        <is>
          <t>Supports personnel security, awareness, onboarding, role changes and offboarding</t>
        </is>
      </c>
    </row>
  </sheetData>
  <sheetProtection selectLockedCells="0" selectUnlockedCells="0" sheet="1" objects="0" insertRows="0" insertHyperlinks="1" autoFilter="0" scenarios="0" formatColumns="0" deleteColumns="1" insertColumns="1" pivotTables="1" deleteRows="0" formatCells="0" formatRows="0" sort="0"/>
  <conditionalFormatting sqref="G6:G11">
    <cfRule type="expression" rank="0" priority="2" equalAverage="0" aboveAverage="0" dxfId="4" text="" percent="0" bottom="0">
      <formula>$G6="Completed"</formula>
    </cfRule>
    <cfRule type="expression" rank="0" priority="3" equalAverage="0" aboveAverage="0" dxfId="22" text="" percent="0" bottom="0">
      <formula>$G6="In Progress"</formula>
    </cfRule>
  </conditionalFormatting>
  <conditionalFormatting sqref="B6:B11">
    <cfRule type="expression" rank="0" priority="4" equalAverage="0" aboveAverage="0" dxfId="23" text="" percent="0" bottom="0">
      <formula>AND($B6&lt;&gt;"",$B6&lt;TODAY(),$G6&lt;&gt;"Completed")</formula>
    </cfRule>
  </conditionalFormatting>
  <conditionalFormatting sqref="J6:J11">
    <cfRule type="expression" rank="0" priority="5" equalAverage="0" aboveAverage="0" dxfId="4" text="" percent="0" bottom="0">
      <formula>$J6=0</formula>
    </cfRule>
  </conditionalFormatting>
  <conditionalFormatting sqref="B16:L29">
    <cfRule type="expression" rank="0" priority="6" equalAverage="0" aboveAverage="0" dxfId="9" text="" percent="0" bottom="0">
      <formula>B16="A"</formula>
    </cfRule>
    <cfRule type="expression" rank="0" priority="7" equalAverage="0" aboveAverage="0" dxfId="8" text="" percent="0" bottom="0">
      <formula>B16="A/R"</formula>
    </cfRule>
    <cfRule type="expression" rank="0" priority="8" equalAverage="0" aboveAverage="0" dxfId="7" text="" percent="0" bottom="0">
      <formula>B16="R"</formula>
    </cfRule>
    <cfRule type="expression" rank="0" priority="9" equalAverage="0" aboveAverage="0" dxfId="22" text="" percent="0" bottom="0">
      <formula>B16="C"</formula>
    </cfRule>
    <cfRule type="expression" rank="0" priority="10" equalAverage="0" aboveAverage="0" dxfId="27" text="" percent="0" bottom="0">
      <formula>B16="I"</formula>
    </cfRule>
  </conditionalFormatting>
  <dataValidations count="2">
    <dataValidation sqref="G6:G11" showDropDown="0" showInputMessage="0" showErrorMessage="0" allowBlank="1" errorTitle="Invalid entry" error="Please choose a value from the drop-down list (maintained on the Lists sheet)." type="list" errorStyle="stop" operator="between">
      <formula1>lstStatus</formula1>
      <formula2>0</formula2>
    </dataValidation>
    <dataValidation sqref="B16:L29" showDropDown="0" showInputMessage="0" showErrorMessage="0" allowBlank="1" errorTitle="Invalid entry" error="Please choose a value from the drop-down list (maintained on the Lists sheet)." type="list" errorStyle="stop" operator="between">
      <formula1>lstRaci</formula1>
      <formula2>0</formula2>
    </dataValidation>
  </dataValidations>
  <printOptions horizontalCentered="1" verticalCentered="0" headings="0" gridLines="0" gridLinesSet="1"/>
  <pageMargins left="0.75" right="0.75" top="1" bottom="1" header="0.5" footer="0.5"/>
  <pageSetup orientation="landscape" paperSize="8" scale="100" fitToHeight="0" fitToWidth="1" pageOrder="downThenOver" blackAndWhite="0" draft="0" horizontalDpi="300" verticalDpi="300" copies="1"/>
  <headerFooter differentOddEven="0" differentFirst="0">
    <oddHeader>&amp;R&amp;8 Internal use</oddHeader>
    <oddFooter>&amp;L&amp;8 NIS2 Group Implementation Project&amp;R&amp;8 Page &amp;P of &amp;N</oddFooter>
    <evenHeader/>
    <evenFooter/>
    <firstHeader/>
    <firstFooter/>
  </headerFooter>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7.xml><?xml version="1.0" encoding="utf-8"?>
<worksheet xmlns="http://schemas.openxmlformats.org/spreadsheetml/2006/main">
  <sheetPr filterMode="0">
    <outlinePr summaryBelow="1" summaryRight="1"/>
    <pageSetUpPr fitToPage="1"/>
  </sheetPr>
  <dimension ref="A1:N35"/>
  <sheetViews>
    <sheetView showFormulas="0" showGridLines="1" showRowColHeaders="1" showZeros="1" rightToLeft="0" tabSelected="0" showOutlineSymbols="1" defaultGridColor="1"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baseColWidth="8" defaultColWidth="8.71484375" defaultRowHeight="15" zeroHeight="0" outlineLevelRow="0"/>
  <cols>
    <col width="11" customWidth="1" style="36" min="1" max="1"/>
    <col width="12" customWidth="1" style="36" min="2" max="2"/>
    <col width="13" customWidth="1" style="36" min="3" max="3"/>
    <col width="46" customWidth="1" style="36" min="4" max="4"/>
    <col width="10" customWidth="1" style="36" min="5" max="5"/>
    <col width="12" customWidth="1" style="36" min="6" max="6"/>
    <col width="11" customWidth="1" style="36" min="7" max="7"/>
    <col width="24" customWidth="1" style="36" min="8" max="8"/>
    <col width="44" customWidth="1" style="36" min="9" max="9"/>
    <col width="13" customWidth="1" style="36" min="10" max="10"/>
    <col width="12" customWidth="1" style="36" min="11" max="11"/>
    <col width="13" customWidth="1" style="36" min="12" max="12"/>
    <col width="34" customWidth="1" style="36" min="13" max="13"/>
    <col width="13" customWidth="1" style="36" min="14" max="14"/>
  </cols>
  <sheetData>
    <row r="1" ht="20.25" customHeight="1" s="37">
      <c r="A1" s="38" t="inlineStr">
        <is>
          <t>NIS2 Group Implementation Project</t>
        </is>
      </c>
    </row>
    <row r="2" ht="15.75" customHeight="1" s="37">
      <c r="A2" s="39" t="inlineStr">
        <is>
          <t>Risks, Issues and Decisions</t>
        </is>
      </c>
    </row>
    <row r="3" ht="15" customHeight="1" s="37">
      <c r="A3" s="40" t="inlineStr">
        <is>
          <t>One record per risk, issue or decision. Due Status is calculated automatically.</t>
        </is>
      </c>
    </row>
    <row r="4" ht="3" customHeight="1" s="37">
      <c r="A4" s="41" t="n"/>
      <c r="B4" s="41" t="n"/>
      <c r="C4" s="41" t="n"/>
      <c r="D4" s="41" t="n"/>
      <c r="E4" s="41" t="n"/>
      <c r="F4" s="41" t="n"/>
      <c r="G4" s="41" t="n"/>
      <c r="H4" s="41" t="n"/>
      <c r="I4" s="41" t="n"/>
      <c r="J4" s="41" t="n"/>
      <c r="K4" s="41" t="n"/>
      <c r="L4" s="41" t="n"/>
      <c r="M4" s="41" t="n"/>
      <c r="N4" s="41" t="n"/>
    </row>
    <row r="5" ht="30" customHeight="1" s="37">
      <c r="A5" s="42" t="inlineStr">
        <is>
          <t>Record ID</t>
        </is>
      </c>
      <c r="B5" s="42" t="inlineStr">
        <is>
          <t>Type</t>
        </is>
      </c>
      <c r="C5" s="42" t="inlineStr">
        <is>
          <t>Date Raised</t>
        </is>
      </c>
      <c r="D5" s="42" t="inlineStr">
        <is>
          <t>Description</t>
        </is>
      </c>
      <c r="E5" s="42" t="inlineStr">
        <is>
          <t>Impact</t>
        </is>
      </c>
      <c r="F5" s="42" t="inlineStr">
        <is>
          <t>Probability</t>
        </is>
      </c>
      <c r="G5" s="42" t="inlineStr">
        <is>
          <t>Severity</t>
        </is>
      </c>
      <c r="H5" s="42" t="inlineStr">
        <is>
          <t>Owner</t>
        </is>
      </c>
      <c r="I5" s="42" t="inlineStr">
        <is>
          <t>Mitigation / Required Action</t>
        </is>
      </c>
      <c r="J5" s="42" t="inlineStr">
        <is>
          <t>Target Date</t>
        </is>
      </c>
      <c r="K5" s="42" t="inlineStr">
        <is>
          <t>Status</t>
        </is>
      </c>
      <c r="L5" s="42" t="inlineStr">
        <is>
          <t>Escalation Needed</t>
        </is>
      </c>
      <c r="M5" s="42" t="inlineStr">
        <is>
          <t>Decision / Resolution</t>
        </is>
      </c>
      <c r="N5" s="42" t="inlineStr">
        <is>
          <t>Due Status</t>
        </is>
      </c>
    </row>
    <row r="6" ht="38.25" customHeight="1" s="37">
      <c r="A6" s="64" t="inlineStr">
        <is>
          <t>R1</t>
        </is>
      </c>
      <c r="B6" s="64" t="inlineStr">
        <is>
          <t>Risk</t>
        </is>
      </c>
      <c r="C6" s="66" t="n">
        <v>46272</v>
      </c>
      <c r="D6" s="65" t="inlineStr">
        <is>
          <t>Limited availability because project work is performed alongside normal operations</t>
        </is>
      </c>
      <c r="E6" s="64" t="inlineStr">
        <is>
          <t>High</t>
        </is>
      </c>
      <c r="F6" s="64" t="inlineStr">
        <is>
          <t>High</t>
        </is>
      </c>
      <c r="G6" s="64" t="inlineStr">
        <is>
          <t>High</t>
        </is>
      </c>
      <c r="H6" s="65" t="inlineStr">
        <is>
          <t>Information Security Officer</t>
        </is>
      </c>
      <c r="I6" s="65" t="inlineStr">
        <is>
          <t>Use phased assessments; restrict meetings; prioritise reusable HQ controls; escalate overdue High-priority tasks</t>
        </is>
      </c>
      <c r="J6" s="66" t="n">
        <v>46290</v>
      </c>
      <c r="K6" s="64" t="inlineStr">
        <is>
          <t>Open</t>
        </is>
      </c>
      <c r="L6" s="64" t="inlineStr">
        <is>
          <t>Yes</t>
        </is>
      </c>
      <c r="M6" s="65" t="n"/>
      <c r="N6" s="53">
        <f>IF(OR($J6="",$A6=""),"",IF(OR($K6="Closed",$K6="Accepted"),"Closed",IF(TODAY()&gt;$J6,"Overdue",IF(TODAY()+14&gt;$J6,"Due soon","On track"))))</f>
        <v/>
      </c>
    </row>
    <row r="7" ht="15" customHeight="1" s="37">
      <c r="A7" s="64" t="n"/>
      <c r="B7" s="64" t="n"/>
      <c r="C7" s="66" t="n"/>
      <c r="D7" s="65" t="n"/>
      <c r="E7" s="64" t="n"/>
      <c r="F7" s="64" t="n"/>
      <c r="G7" s="64" t="n"/>
      <c r="H7" s="65" t="n"/>
      <c r="I7" s="65" t="n"/>
      <c r="J7" s="66" t="n"/>
      <c r="K7" s="64" t="n"/>
      <c r="L7" s="64" t="n"/>
      <c r="M7" s="65" t="n"/>
      <c r="N7" s="53">
        <f>IF(OR($J7="",$A7=""),"",IF(OR($K7="Closed",$K7="Accepted"),"Closed",IF(TODAY()&gt;$J7,"Overdue",IF(TODAY()+14&gt;$J7,"Due soon","On track"))))</f>
        <v/>
      </c>
    </row>
    <row r="8" ht="15" customHeight="1" s="37">
      <c r="A8" s="64" t="n"/>
      <c r="B8" s="64" t="n"/>
      <c r="C8" s="66" t="n"/>
      <c r="D8" s="65" t="n"/>
      <c r="E8" s="64" t="n"/>
      <c r="F8" s="64" t="n"/>
      <c r="G8" s="64" t="n"/>
      <c r="H8" s="65" t="n"/>
      <c r="I8" s="65" t="n"/>
      <c r="J8" s="66" t="n"/>
      <c r="K8" s="64" t="n"/>
      <c r="L8" s="64" t="n"/>
      <c r="M8" s="65" t="n"/>
      <c r="N8" s="53">
        <f>IF(OR($J8="",$A8=""),"",IF(OR($K8="Closed",$K8="Accepted"),"Closed",IF(TODAY()&gt;$J8,"Overdue",IF(TODAY()+14&gt;$J8,"Due soon","On track"))))</f>
        <v/>
      </c>
    </row>
    <row r="9" ht="15" customHeight="1" s="37">
      <c r="A9" s="64" t="n"/>
      <c r="B9" s="64" t="n"/>
      <c r="C9" s="66" t="n"/>
      <c r="D9" s="65" t="n"/>
      <c r="E9" s="64" t="n"/>
      <c r="F9" s="64" t="n"/>
      <c r="G9" s="64" t="n"/>
      <c r="H9" s="65" t="n"/>
      <c r="I9" s="65" t="n"/>
      <c r="J9" s="66" t="n"/>
      <c r="K9" s="64" t="n"/>
      <c r="L9" s="64" t="n"/>
      <c r="M9" s="65" t="n"/>
      <c r="N9" s="53">
        <f>IF(OR($J9="",$A9=""),"",IF(OR($K9="Closed",$K9="Accepted"),"Closed",IF(TODAY()&gt;$J9,"Overdue",IF(TODAY()+14&gt;$J9,"Due soon","On track"))))</f>
        <v/>
      </c>
    </row>
    <row r="10" ht="15" customHeight="1" s="37">
      <c r="A10" s="64" t="n"/>
      <c r="B10" s="64" t="n"/>
      <c r="C10" s="66" t="n"/>
      <c r="D10" s="65" t="n"/>
      <c r="E10" s="64" t="n"/>
      <c r="F10" s="64" t="n"/>
      <c r="G10" s="64" t="n"/>
      <c r="H10" s="65" t="n"/>
      <c r="I10" s="65" t="n"/>
      <c r="J10" s="66" t="n"/>
      <c r="K10" s="64" t="n"/>
      <c r="L10" s="64" t="n"/>
      <c r="M10" s="65" t="n"/>
      <c r="N10" s="53">
        <f>IF(OR($J10="",$A10=""),"",IF(OR($K10="Closed",$K10="Accepted"),"Closed",IF(TODAY()&gt;$J10,"Overdue",IF(TODAY()+14&gt;$J10,"Due soon","On track"))))</f>
        <v/>
      </c>
    </row>
    <row r="11" ht="15" customHeight="1" s="37">
      <c r="A11" s="64" t="n"/>
      <c r="B11" s="64" t="n"/>
      <c r="C11" s="66" t="n"/>
      <c r="D11" s="65" t="n"/>
      <c r="E11" s="64" t="n"/>
      <c r="F11" s="64" t="n"/>
      <c r="G11" s="64" t="n"/>
      <c r="H11" s="65" t="n"/>
      <c r="I11" s="65" t="n"/>
      <c r="J11" s="66" t="n"/>
      <c r="K11" s="64" t="n"/>
      <c r="L11" s="64" t="n"/>
      <c r="M11" s="65" t="n"/>
      <c r="N11" s="53">
        <f>IF(OR($J11="",$A11=""),"",IF(OR($K11="Closed",$K11="Accepted"),"Closed",IF(TODAY()&gt;$J11,"Overdue",IF(TODAY()+14&gt;$J11,"Due soon","On track"))))</f>
        <v/>
      </c>
    </row>
    <row r="12" ht="15" customHeight="1" s="37">
      <c r="A12" s="64" t="n"/>
      <c r="B12" s="64" t="n"/>
      <c r="C12" s="66" t="n"/>
      <c r="D12" s="65" t="n"/>
      <c r="E12" s="64" t="n"/>
      <c r="F12" s="64" t="n"/>
      <c r="G12" s="64" t="n"/>
      <c r="H12" s="65" t="n"/>
      <c r="I12" s="65" t="n"/>
      <c r="J12" s="66" t="n"/>
      <c r="K12" s="64" t="n"/>
      <c r="L12" s="64" t="n"/>
      <c r="M12" s="65" t="n"/>
      <c r="N12" s="53">
        <f>IF(OR($J12="",$A12=""),"",IF(OR($K12="Closed",$K12="Accepted"),"Closed",IF(TODAY()&gt;$J12,"Overdue",IF(TODAY()+14&gt;$J12,"Due soon","On track"))))</f>
        <v/>
      </c>
    </row>
    <row r="13" ht="15" customHeight="1" s="37">
      <c r="A13" s="64" t="n"/>
      <c r="B13" s="64" t="n"/>
      <c r="C13" s="66" t="n"/>
      <c r="D13" s="65" t="n"/>
      <c r="E13" s="64" t="n"/>
      <c r="F13" s="64" t="n"/>
      <c r="G13" s="64" t="n"/>
      <c r="H13" s="65" t="n"/>
      <c r="I13" s="65" t="n"/>
      <c r="J13" s="66" t="n"/>
      <c r="K13" s="64" t="n"/>
      <c r="L13" s="64" t="n"/>
      <c r="M13" s="65" t="n"/>
      <c r="N13" s="53">
        <f>IF(OR($J13="",$A13=""),"",IF(OR($K13="Closed",$K13="Accepted"),"Closed",IF(TODAY()&gt;$J13,"Overdue",IF(TODAY()+14&gt;$J13,"Due soon","On track"))))</f>
        <v/>
      </c>
    </row>
    <row r="14" ht="15" customHeight="1" s="37">
      <c r="A14" s="64" t="n"/>
      <c r="B14" s="64" t="n"/>
      <c r="C14" s="66" t="n"/>
      <c r="D14" s="65" t="n"/>
      <c r="E14" s="64" t="n"/>
      <c r="F14" s="64" t="n"/>
      <c r="G14" s="64" t="n"/>
      <c r="H14" s="65" t="n"/>
      <c r="I14" s="65" t="n"/>
      <c r="J14" s="66" t="n"/>
      <c r="K14" s="64" t="n"/>
      <c r="L14" s="64" t="n"/>
      <c r="M14" s="65" t="n"/>
      <c r="N14" s="53">
        <f>IF(OR($J14="",$A14=""),"",IF(OR($K14="Closed",$K14="Accepted"),"Closed",IF(TODAY()&gt;$J14,"Overdue",IF(TODAY()+14&gt;$J14,"Due soon","On track"))))</f>
        <v/>
      </c>
    </row>
    <row r="15" ht="15" customHeight="1" s="37">
      <c r="A15" s="64" t="n"/>
      <c r="B15" s="64" t="n"/>
      <c r="C15" s="66" t="n"/>
      <c r="D15" s="65" t="n"/>
      <c r="E15" s="64" t="n"/>
      <c r="F15" s="64" t="n"/>
      <c r="G15" s="64" t="n"/>
      <c r="H15" s="65" t="n"/>
      <c r="I15" s="65" t="n"/>
      <c r="J15" s="66" t="n"/>
      <c r="K15" s="64" t="n"/>
      <c r="L15" s="64" t="n"/>
      <c r="M15" s="65" t="n"/>
      <c r="N15" s="53">
        <f>IF(OR($J15="",$A15=""),"",IF(OR($K15="Closed",$K15="Accepted"),"Closed",IF(TODAY()&gt;$J15,"Overdue",IF(TODAY()+14&gt;$J15,"Due soon","On track"))))</f>
        <v/>
      </c>
    </row>
    <row r="16" ht="15" customHeight="1" s="37">
      <c r="A16" s="64" t="n"/>
      <c r="B16" s="64" t="n"/>
      <c r="C16" s="66" t="n"/>
      <c r="D16" s="65" t="n"/>
      <c r="E16" s="64" t="n"/>
      <c r="F16" s="64" t="n"/>
      <c r="G16" s="64" t="n"/>
      <c r="H16" s="65" t="n"/>
      <c r="I16" s="65" t="n"/>
      <c r="J16" s="66" t="n"/>
      <c r="K16" s="64" t="n"/>
      <c r="L16" s="64" t="n"/>
      <c r="M16" s="65" t="n"/>
      <c r="N16" s="53">
        <f>IF(OR($J16="",$A16=""),"",IF(OR($K16="Closed",$K16="Accepted"),"Closed",IF(TODAY()&gt;$J16,"Overdue",IF(TODAY()+14&gt;$J16,"Due soon","On track"))))</f>
        <v/>
      </c>
    </row>
    <row r="17" ht="15" customHeight="1" s="37">
      <c r="A17" s="64" t="n"/>
      <c r="B17" s="64" t="n"/>
      <c r="C17" s="66" t="n"/>
      <c r="D17" s="65" t="n"/>
      <c r="E17" s="64" t="n"/>
      <c r="F17" s="64" t="n"/>
      <c r="G17" s="64" t="n"/>
      <c r="H17" s="65" t="n"/>
      <c r="I17" s="65" t="n"/>
      <c r="J17" s="66" t="n"/>
      <c r="K17" s="64" t="n"/>
      <c r="L17" s="64" t="n"/>
      <c r="M17" s="65" t="n"/>
      <c r="N17" s="53">
        <f>IF(OR($J17="",$A17=""),"",IF(OR($K17="Closed",$K17="Accepted"),"Closed",IF(TODAY()&gt;$J17,"Overdue",IF(TODAY()+14&gt;$J17,"Due soon","On track"))))</f>
        <v/>
      </c>
    </row>
    <row r="18" ht="15" customHeight="1" s="37">
      <c r="A18" s="64" t="n"/>
      <c r="B18" s="64" t="n"/>
      <c r="C18" s="66" t="n"/>
      <c r="D18" s="65" t="n"/>
      <c r="E18" s="64" t="n"/>
      <c r="F18" s="64" t="n"/>
      <c r="G18" s="64" t="n"/>
      <c r="H18" s="65" t="n"/>
      <c r="I18" s="65" t="n"/>
      <c r="J18" s="66" t="n"/>
      <c r="K18" s="64" t="n"/>
      <c r="L18" s="64" t="n"/>
      <c r="M18" s="65" t="n"/>
      <c r="N18" s="53">
        <f>IF(OR($J18="",$A18=""),"",IF(OR($K18="Closed",$K18="Accepted"),"Closed",IF(TODAY()&gt;$J18,"Overdue",IF(TODAY()+14&gt;$J18,"Due soon","On track"))))</f>
        <v/>
      </c>
    </row>
    <row r="19" ht="15" customHeight="1" s="37">
      <c r="A19" s="64" t="n"/>
      <c r="B19" s="64" t="n"/>
      <c r="C19" s="66" t="n"/>
      <c r="D19" s="65" t="n"/>
      <c r="E19" s="64" t="n"/>
      <c r="F19" s="64" t="n"/>
      <c r="G19" s="64" t="n"/>
      <c r="H19" s="65" t="n"/>
      <c r="I19" s="65" t="n"/>
      <c r="J19" s="66" t="n"/>
      <c r="K19" s="64" t="n"/>
      <c r="L19" s="64" t="n"/>
      <c r="M19" s="65" t="n"/>
      <c r="N19" s="53">
        <f>IF(OR($J19="",$A19=""),"",IF(OR($K19="Closed",$K19="Accepted"),"Closed",IF(TODAY()&gt;$J19,"Overdue",IF(TODAY()+14&gt;$J19,"Due soon","On track"))))</f>
        <v/>
      </c>
    </row>
    <row r="20" ht="15" customHeight="1" s="37">
      <c r="A20" s="64" t="n"/>
      <c r="B20" s="64" t="n"/>
      <c r="C20" s="66" t="n"/>
      <c r="D20" s="65" t="n"/>
      <c r="E20" s="64" t="n"/>
      <c r="F20" s="64" t="n"/>
      <c r="G20" s="64" t="n"/>
      <c r="H20" s="65" t="n"/>
      <c r="I20" s="65" t="n"/>
      <c r="J20" s="66" t="n"/>
      <c r="K20" s="64" t="n"/>
      <c r="L20" s="64" t="n"/>
      <c r="M20" s="65" t="n"/>
      <c r="N20" s="53">
        <f>IF(OR($J20="",$A20=""),"",IF(OR($K20="Closed",$K20="Accepted"),"Closed",IF(TODAY()&gt;$J20,"Overdue",IF(TODAY()+14&gt;$J20,"Due soon","On track"))))</f>
        <v/>
      </c>
    </row>
    <row r="21" ht="15" customHeight="1" s="37">
      <c r="A21" s="64" t="n"/>
      <c r="B21" s="64" t="n"/>
      <c r="C21" s="66" t="n"/>
      <c r="D21" s="65" t="n"/>
      <c r="E21" s="64" t="n"/>
      <c r="F21" s="64" t="n"/>
      <c r="G21" s="64" t="n"/>
      <c r="H21" s="65" t="n"/>
      <c r="I21" s="65" t="n"/>
      <c r="J21" s="66" t="n"/>
      <c r="K21" s="64" t="n"/>
      <c r="L21" s="64" t="n"/>
      <c r="M21" s="65" t="n"/>
      <c r="N21" s="53">
        <f>IF(OR($J21="",$A21=""),"",IF(OR($K21="Closed",$K21="Accepted"),"Closed",IF(TODAY()&gt;$J21,"Overdue",IF(TODAY()+14&gt;$J21,"Due soon","On track"))))</f>
        <v/>
      </c>
    </row>
    <row r="22" ht="15" customHeight="1" s="37">
      <c r="A22" s="64" t="n"/>
      <c r="B22" s="64" t="n"/>
      <c r="C22" s="66" t="n"/>
      <c r="D22" s="65" t="n"/>
      <c r="E22" s="64" t="n"/>
      <c r="F22" s="64" t="n"/>
      <c r="G22" s="64" t="n"/>
      <c r="H22" s="65" t="n"/>
      <c r="I22" s="65" t="n"/>
      <c r="J22" s="66" t="n"/>
      <c r="K22" s="64" t="n"/>
      <c r="L22" s="64" t="n"/>
      <c r="M22" s="65" t="n"/>
      <c r="N22" s="53">
        <f>IF(OR($J22="",$A22=""),"",IF(OR($K22="Closed",$K22="Accepted"),"Closed",IF(TODAY()&gt;$J22,"Overdue",IF(TODAY()+14&gt;$J22,"Due soon","On track"))))</f>
        <v/>
      </c>
    </row>
    <row r="23" ht="15" customHeight="1" s="37">
      <c r="A23" s="64" t="n"/>
      <c r="B23" s="64" t="n"/>
      <c r="C23" s="66" t="n"/>
      <c r="D23" s="65" t="n"/>
      <c r="E23" s="64" t="n"/>
      <c r="F23" s="64" t="n"/>
      <c r="G23" s="64" t="n"/>
      <c r="H23" s="65" t="n"/>
      <c r="I23" s="65" t="n"/>
      <c r="J23" s="66" t="n"/>
      <c r="K23" s="64" t="n"/>
      <c r="L23" s="64" t="n"/>
      <c r="M23" s="65" t="n"/>
      <c r="N23" s="53">
        <f>IF(OR($J23="",$A23=""),"",IF(OR($K23="Closed",$K23="Accepted"),"Closed",IF(TODAY()&gt;$J23,"Overdue",IF(TODAY()+14&gt;$J23,"Due soon","On track"))))</f>
        <v/>
      </c>
    </row>
    <row r="24" ht="15" customHeight="1" s="37">
      <c r="A24" s="64" t="n"/>
      <c r="B24" s="64" t="n"/>
      <c r="C24" s="66" t="n"/>
      <c r="D24" s="65" t="n"/>
      <c r="E24" s="64" t="n"/>
      <c r="F24" s="64" t="n"/>
      <c r="G24" s="64" t="n"/>
      <c r="H24" s="65" t="n"/>
      <c r="I24" s="65" t="n"/>
      <c r="J24" s="66" t="n"/>
      <c r="K24" s="64" t="n"/>
      <c r="L24" s="64" t="n"/>
      <c r="M24" s="65" t="n"/>
      <c r="N24" s="53">
        <f>IF(OR($J24="",$A24=""),"",IF(OR($K24="Closed",$K24="Accepted"),"Closed",IF(TODAY()&gt;$J24,"Overdue",IF(TODAY()+14&gt;$J24,"Due soon","On track"))))</f>
        <v/>
      </c>
    </row>
    <row r="25" ht="15" customHeight="1" s="37">
      <c r="A25" s="64" t="n"/>
      <c r="B25" s="64" t="n"/>
      <c r="C25" s="66" t="n"/>
      <c r="D25" s="65" t="n"/>
      <c r="E25" s="64" t="n"/>
      <c r="F25" s="64" t="n"/>
      <c r="G25" s="64" t="n"/>
      <c r="H25" s="65" t="n"/>
      <c r="I25" s="65" t="n"/>
      <c r="J25" s="66" t="n"/>
      <c r="K25" s="64" t="n"/>
      <c r="L25" s="64" t="n"/>
      <c r="M25" s="65" t="n"/>
      <c r="N25" s="53">
        <f>IF(OR($J25="",$A25=""),"",IF(OR($K25="Closed",$K25="Accepted"),"Closed",IF(TODAY()&gt;$J25,"Overdue",IF(TODAY()+14&gt;$J25,"Due soon","On track"))))</f>
        <v/>
      </c>
    </row>
    <row r="26" ht="15" customHeight="1" s="37">
      <c r="A26" s="64" t="n"/>
      <c r="B26" s="64" t="n"/>
      <c r="C26" s="66" t="n"/>
      <c r="D26" s="65" t="n"/>
      <c r="E26" s="64" t="n"/>
      <c r="F26" s="64" t="n"/>
      <c r="G26" s="64" t="n"/>
      <c r="H26" s="65" t="n"/>
      <c r="I26" s="65" t="n"/>
      <c r="J26" s="66" t="n"/>
      <c r="K26" s="64" t="n"/>
      <c r="L26" s="64" t="n"/>
      <c r="M26" s="65" t="n"/>
      <c r="N26" s="53">
        <f>IF(OR($J26="",$A26=""),"",IF(OR($K26="Closed",$K26="Accepted"),"Closed",IF(TODAY()&gt;$J26,"Overdue",IF(TODAY()+14&gt;$J26,"Due soon","On track"))))</f>
        <v/>
      </c>
    </row>
    <row r="27" ht="15" customHeight="1" s="37">
      <c r="A27" s="64" t="n"/>
      <c r="B27" s="64" t="n"/>
      <c r="C27" s="66" t="n"/>
      <c r="D27" s="65" t="n"/>
      <c r="E27" s="64" t="n"/>
      <c r="F27" s="64" t="n"/>
      <c r="G27" s="64" t="n"/>
      <c r="H27" s="65" t="n"/>
      <c r="I27" s="65" t="n"/>
      <c r="J27" s="66" t="n"/>
      <c r="K27" s="64" t="n"/>
      <c r="L27" s="64" t="n"/>
      <c r="M27" s="65" t="n"/>
      <c r="N27" s="53">
        <f>IF(OR($J27="",$A27=""),"",IF(OR($K27="Closed",$K27="Accepted"),"Closed",IF(TODAY()&gt;$J27,"Overdue",IF(TODAY()+14&gt;$J27,"Due soon","On track"))))</f>
        <v/>
      </c>
    </row>
    <row r="28" ht="15" customHeight="1" s="37">
      <c r="A28" s="64" t="n"/>
      <c r="B28" s="64" t="n"/>
      <c r="C28" s="66" t="n"/>
      <c r="D28" s="65" t="n"/>
      <c r="E28" s="64" t="n"/>
      <c r="F28" s="64" t="n"/>
      <c r="G28" s="64" t="n"/>
      <c r="H28" s="65" t="n"/>
      <c r="I28" s="65" t="n"/>
      <c r="J28" s="66" t="n"/>
      <c r="K28" s="64" t="n"/>
      <c r="L28" s="64" t="n"/>
      <c r="M28" s="65" t="n"/>
      <c r="N28" s="53">
        <f>IF(OR($J28="",$A28=""),"",IF(OR($K28="Closed",$K28="Accepted"),"Closed",IF(TODAY()&gt;$J28,"Overdue",IF(TODAY()+14&gt;$J28,"Due soon","On track"))))</f>
        <v/>
      </c>
    </row>
    <row r="29" ht="15" customHeight="1" s="37">
      <c r="A29" s="64" t="n"/>
      <c r="B29" s="64" t="n"/>
      <c r="C29" s="66" t="n"/>
      <c r="D29" s="65" t="n"/>
      <c r="E29" s="64" t="n"/>
      <c r="F29" s="64" t="n"/>
      <c r="G29" s="64" t="n"/>
      <c r="H29" s="65" t="n"/>
      <c r="I29" s="65" t="n"/>
      <c r="J29" s="66" t="n"/>
      <c r="K29" s="64" t="n"/>
      <c r="L29" s="64" t="n"/>
      <c r="M29" s="65" t="n"/>
      <c r="N29" s="53">
        <f>IF(OR($J29="",$A29=""),"",IF(OR($K29="Closed",$K29="Accepted"),"Closed",IF(TODAY()&gt;$J29,"Overdue",IF(TODAY()+14&gt;$J29,"Due soon","On track"))))</f>
        <v/>
      </c>
    </row>
    <row r="30" ht="15" customHeight="1" s="37">
      <c r="A30" s="64" t="n"/>
      <c r="B30" s="64" t="n"/>
      <c r="C30" s="66" t="n"/>
      <c r="D30" s="65" t="n"/>
      <c r="E30" s="64" t="n"/>
      <c r="F30" s="64" t="n"/>
      <c r="G30" s="64" t="n"/>
      <c r="H30" s="65" t="n"/>
      <c r="I30" s="65" t="n"/>
      <c r="J30" s="66" t="n"/>
      <c r="K30" s="64" t="n"/>
      <c r="L30" s="64" t="n"/>
      <c r="M30" s="65" t="n"/>
      <c r="N30" s="53">
        <f>IF(OR($J30="",$A30=""),"",IF(OR($K30="Closed",$K30="Accepted"),"Closed",IF(TODAY()&gt;$J30,"Overdue",IF(TODAY()+14&gt;$J30,"Due soon","On track"))))</f>
        <v/>
      </c>
    </row>
    <row r="31" ht="15" customHeight="1" s="37">
      <c r="A31" s="64" t="n"/>
      <c r="B31" s="64" t="n"/>
      <c r="C31" s="66" t="n"/>
      <c r="D31" s="65" t="n"/>
      <c r="E31" s="64" t="n"/>
      <c r="F31" s="64" t="n"/>
      <c r="G31" s="64" t="n"/>
      <c r="H31" s="65" t="n"/>
      <c r="I31" s="65" t="n"/>
      <c r="J31" s="66" t="n"/>
      <c r="K31" s="64" t="n"/>
      <c r="L31" s="64" t="n"/>
      <c r="M31" s="65" t="n"/>
      <c r="N31" s="53">
        <f>IF(OR($J31="",$A31=""),"",IF(OR($K31="Closed",$K31="Accepted"),"Closed",IF(TODAY()&gt;$J31,"Overdue",IF(TODAY()+14&gt;$J31,"Due soon","On track"))))</f>
        <v/>
      </c>
    </row>
    <row r="32" ht="15" customHeight="1" s="37">
      <c r="A32" s="64" t="n"/>
      <c r="B32" s="64" t="n"/>
      <c r="C32" s="66" t="n"/>
      <c r="D32" s="65" t="n"/>
      <c r="E32" s="64" t="n"/>
      <c r="F32" s="64" t="n"/>
      <c r="G32" s="64" t="n"/>
      <c r="H32" s="65" t="n"/>
      <c r="I32" s="65" t="n"/>
      <c r="J32" s="66" t="n"/>
      <c r="K32" s="64" t="n"/>
      <c r="L32" s="64" t="n"/>
      <c r="M32" s="65" t="n"/>
      <c r="N32" s="53">
        <f>IF(OR($J32="",$A32=""),"",IF(OR($K32="Closed",$K32="Accepted"),"Closed",IF(TODAY()&gt;$J32,"Overdue",IF(TODAY()+14&gt;$J32,"Due soon","On track"))))</f>
        <v/>
      </c>
    </row>
    <row r="33" ht="15" customHeight="1" s="37">
      <c r="A33" s="64" t="n"/>
      <c r="B33" s="64" t="n"/>
      <c r="C33" s="66" t="n"/>
      <c r="D33" s="65" t="n"/>
      <c r="E33" s="64" t="n"/>
      <c r="F33" s="64" t="n"/>
      <c r="G33" s="64" t="n"/>
      <c r="H33" s="65" t="n"/>
      <c r="I33" s="65" t="n"/>
      <c r="J33" s="66" t="n"/>
      <c r="K33" s="64" t="n"/>
      <c r="L33" s="64" t="n"/>
      <c r="M33" s="65" t="n"/>
      <c r="N33" s="53">
        <f>IF(OR($J33="",$A33=""),"",IF(OR($K33="Closed",$K33="Accepted"),"Closed",IF(TODAY()&gt;$J33,"Overdue",IF(TODAY()+14&gt;$J33,"Due soon","On track"))))</f>
        <v/>
      </c>
    </row>
    <row r="34" ht="15" customHeight="1" s="37">
      <c r="A34" s="64" t="n"/>
      <c r="B34" s="64" t="n"/>
      <c r="C34" s="66" t="n"/>
      <c r="D34" s="65" t="n"/>
      <c r="E34" s="64" t="n"/>
      <c r="F34" s="64" t="n"/>
      <c r="G34" s="64" t="n"/>
      <c r="H34" s="65" t="n"/>
      <c r="I34" s="65" t="n"/>
      <c r="J34" s="66" t="n"/>
      <c r="K34" s="64" t="n"/>
      <c r="L34" s="64" t="n"/>
      <c r="M34" s="65" t="n"/>
      <c r="N34" s="53">
        <f>IF(OR($J34="",$A34=""),"",IF(OR($K34="Closed",$K34="Accepted"),"Closed",IF(TODAY()&gt;$J34,"Overdue",IF(TODAY()+14&gt;$J34,"Due soon","On track"))))</f>
        <v/>
      </c>
    </row>
    <row r="35" ht="15" customHeight="1" s="37">
      <c r="A35" s="64" t="n"/>
      <c r="B35" s="64" t="n"/>
      <c r="C35" s="66" t="n"/>
      <c r="D35" s="65" t="n"/>
      <c r="E35" s="64" t="n"/>
      <c r="F35" s="64" t="n"/>
      <c r="G35" s="64" t="n"/>
      <c r="H35" s="65" t="n"/>
      <c r="I35" s="65" t="n"/>
      <c r="J35" s="66" t="n"/>
      <c r="K35" s="64" t="n"/>
      <c r="L35" s="64" t="n"/>
      <c r="M35" s="65" t="n"/>
      <c r="N35" s="53">
        <f>IF(OR($J35="",$A35=""),"",IF(OR($K35="Closed",$K35="Accepted"),"Closed",IF(TODAY()&gt;$J35,"Overdue",IF(TODAY()+14&gt;$J35,"Due soon","On track"))))</f>
        <v/>
      </c>
    </row>
  </sheetData>
  <sheetProtection selectLockedCells="0" selectUnlockedCells="0" sheet="1" objects="0" insertRows="0" insertHyperlinks="1" autoFilter="0" scenarios="0" formatColumns="0" deleteColumns="1" insertColumns="1" pivotTables="1" deleteRows="0" formatCells="0" formatRows="0" sort="0"/>
  <conditionalFormatting sqref="N6:N35">
    <cfRule type="expression" rank="0" priority="2" equalAverage="0" aboveAverage="0" dxfId="3" text="" percent="0" bottom="0">
      <formula>$N6="Overdue"</formula>
    </cfRule>
    <cfRule type="expression" rank="0" priority="3" equalAverage="0" aboveAverage="0" dxfId="5" text="" percent="0" bottom="0">
      <formula>$N6="Due soon"</formula>
    </cfRule>
    <cfRule type="expression" rank="0" priority="4" equalAverage="0" aboveAverage="0" dxfId="4" text="" percent="0" bottom="0">
      <formula>$N6="On track"</formula>
    </cfRule>
    <cfRule type="expression" rank="0" priority="5" equalAverage="0" aboveAverage="0" dxfId="21" text="" percent="0" bottom="0">
      <formula>$N6="Closed"</formula>
    </cfRule>
  </conditionalFormatting>
  <conditionalFormatting sqref="G6:G35">
    <cfRule type="expression" rank="0" priority="6" equalAverage="0" aboveAverage="0" dxfId="3" text="" percent="0" bottom="0">
      <formula>$G6="High"</formula>
    </cfRule>
  </conditionalFormatting>
  <conditionalFormatting sqref="L6:L35">
    <cfRule type="expression" rank="0" priority="7" equalAverage="0" aboveAverage="0" dxfId="3" text="" percent="0" bottom="0">
      <formula>$L6="Yes"</formula>
    </cfRule>
  </conditionalFormatting>
  <conditionalFormatting sqref="K6:K35">
    <cfRule type="expression" rank="0" priority="8" equalAverage="0" aboveAverage="0" dxfId="4" text="" percent="0" bottom="0">
      <formula>$K6="Closed"</formula>
    </cfRule>
    <cfRule type="expression" rank="0" priority="9" equalAverage="0" aboveAverage="0" dxfId="8" text="" percent="0" bottom="0">
      <formula>$K6="Open"</formula>
    </cfRule>
  </conditionalFormatting>
  <dataValidations count="5">
    <dataValidation sqref="B6:B35" showDropDown="0" showInputMessage="0" showErrorMessage="0" allowBlank="1" errorTitle="Invalid entry" error="Please choose a value from the drop-down list (maintained on the Lists sheet)." type="list" errorStyle="stop" operator="between">
      <formula1>lstRecord</formula1>
      <formula2>0</formula2>
    </dataValidation>
    <dataValidation sqref="E6:G35" showDropDown="0" showInputMessage="0" showErrorMessage="0" allowBlank="1" errorTitle="Invalid entry" error="Please choose a value from the drop-down list (maintained on the Lists sheet)." type="list" errorStyle="stop" operator="between">
      <formula1>lstRating</formula1>
      <formula2>0</formula2>
    </dataValidation>
    <dataValidation sqref="H6:H35" showDropDown="0" showInputMessage="0" showErrorMessage="0" allowBlank="1" errorTitle="Invalid entry" error="Please choose a value from the drop-down list (maintained on the Lists sheet)." type="list" errorStyle="stop" operator="between">
      <formula1>lstOwner</formula1>
      <formula2>0</formula2>
    </dataValidation>
    <dataValidation sqref="K6:K35" showDropDown="0" showInputMessage="0" showErrorMessage="0" allowBlank="1" errorTitle="Invalid entry" error="Please choose a value from the drop-down list (maintained on the Lists sheet)." type="list" errorStyle="stop" operator="between">
      <formula1>lstRiskStat</formula1>
      <formula2>0</formula2>
    </dataValidation>
    <dataValidation sqref="L6:L35" showDropDown="0" showInputMessage="0" showErrorMessage="0" allowBlank="1" errorTitle="Invalid entry" error="Please choose a value from the drop-down list (maintained on the Lists sheet)." type="list" errorStyle="stop" operator="between">
      <formula1>lstYesNo</formula1>
      <formula2>0</formula2>
    </dataValidation>
  </dataValidations>
  <printOptions horizontalCentered="1" verticalCentered="0" headings="0" gridLines="0" gridLinesSet="1"/>
  <pageMargins left="0.75" right="0.75" top="1" bottom="1" header="0.5" footer="0.5"/>
  <pageSetup orientation="landscape" paperSize="8" scale="100" fitToHeight="0" fitToWidth="1" pageOrder="downThenOver" blackAndWhite="0" draft="0" horizontalDpi="300" verticalDpi="300" copies="1"/>
  <headerFooter differentOddEven="0" differentFirst="0">
    <oddHeader>&amp;R&amp;8 Internal use</oddHeader>
    <oddFooter>&amp;L&amp;8 NIS2 Group Implementation Project&amp;R&amp;8 Page &amp;P of &amp;N</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filterMode="0">
    <outlinePr summaryBelow="1" summaryRight="1"/>
    <pageSetUpPr fitToPage="1"/>
  </sheetPr>
  <dimension ref="A1:M18"/>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baseColWidth="8" defaultColWidth="8.71484375" defaultRowHeight="15" zeroHeight="0" outlineLevelRow="0"/>
  <cols>
    <col width="30" customWidth="1" style="36" min="1" max="13"/>
  </cols>
  <sheetData>
    <row r="1" ht="20.25" customHeight="1" s="37">
      <c r="A1" s="38" t="inlineStr">
        <is>
          <t>NIS2 Group Implementation Project</t>
        </is>
      </c>
    </row>
    <row r="2" ht="15.75" customHeight="1" s="37">
      <c r="A2" s="39" t="inlineStr">
        <is>
          <t>Master Data and Picklists</t>
        </is>
      </c>
    </row>
    <row r="3" ht="15" customHeight="1" s="37">
      <c r="A3" s="40" t="inlineStr">
        <is>
          <t>Single source for all drop-down lists. Add values at the end of a column and extend the named range.</t>
        </is>
      </c>
    </row>
    <row r="4" ht="3" customHeight="1" s="37">
      <c r="A4" s="41" t="n"/>
      <c r="B4" s="41" t="n"/>
      <c r="C4" s="41" t="n"/>
      <c r="D4" s="41" t="n"/>
      <c r="E4" s="41" t="n"/>
      <c r="F4" s="41" t="n"/>
      <c r="G4" s="41" t="n"/>
      <c r="H4" s="41" t="n"/>
      <c r="I4" s="41" t="n"/>
      <c r="J4" s="41" t="n"/>
      <c r="K4" s="41" t="n"/>
      <c r="L4" s="41" t="n"/>
      <c r="M4" s="41" t="n"/>
    </row>
    <row r="5" ht="30" customHeight="1" s="37">
      <c r="A5" s="42" t="inlineStr">
        <is>
          <t>Status</t>
        </is>
      </c>
      <c r="B5" s="42" t="inlineStr">
        <is>
          <t>Priority</t>
        </is>
      </c>
      <c r="C5" s="42" t="inlineStr">
        <is>
          <t>Phase</t>
        </is>
      </c>
      <c r="D5" s="42" t="inlineStr">
        <is>
          <t>Gate</t>
        </is>
      </c>
      <c r="E5" s="42" t="inlineStr">
        <is>
          <t>Entity</t>
        </is>
      </c>
      <c r="F5" s="42" t="inlineStr">
        <is>
          <t>Owner / Role</t>
        </is>
      </c>
      <c r="G5" s="42" t="inlineStr">
        <is>
          <t>Central or Local</t>
        </is>
      </c>
      <c r="H5" s="42" t="inlineStr">
        <is>
          <t>Record Type</t>
        </is>
      </c>
      <c r="I5" s="42" t="inlineStr">
        <is>
          <t>Rating</t>
        </is>
      </c>
      <c r="J5" s="42" t="inlineStr">
        <is>
          <t>RACI</t>
        </is>
      </c>
      <c r="K5" s="42" t="inlineStr">
        <is>
          <t>Yes / No</t>
        </is>
      </c>
      <c r="L5" s="42" t="inlineStr">
        <is>
          <t>Measure Area</t>
        </is>
      </c>
      <c r="M5" s="42" t="inlineStr">
        <is>
          <t>Record Status</t>
        </is>
      </c>
    </row>
    <row r="6" ht="15" customHeight="1" s="37">
      <c r="A6" s="48" t="inlineStr">
        <is>
          <t>Not Started</t>
        </is>
      </c>
      <c r="B6" s="48" t="inlineStr">
        <is>
          <t>High</t>
        </is>
      </c>
      <c r="C6" s="48" t="inlineStr">
        <is>
          <t>1. Initiation</t>
        </is>
      </c>
      <c r="D6" s="48" t="inlineStr">
        <is>
          <t>Gate 1</t>
        </is>
      </c>
      <c r="E6" s="48" t="inlineStr">
        <is>
          <t>Group / All Entities</t>
        </is>
      </c>
      <c r="F6" s="48" t="inlineStr">
        <is>
          <t>Information Security Officer</t>
        </is>
      </c>
      <c r="G6" s="48" t="inlineStr">
        <is>
          <t>Central</t>
        </is>
      </c>
      <c r="H6" s="48" t="inlineStr">
        <is>
          <t>Risk</t>
        </is>
      </c>
      <c r="I6" s="48" t="inlineStr">
        <is>
          <t>High</t>
        </is>
      </c>
      <c r="J6" s="48" t="inlineStr">
        <is>
          <t>R</t>
        </is>
      </c>
      <c r="K6" s="48" t="inlineStr">
        <is>
          <t>Yes</t>
        </is>
      </c>
      <c r="L6" s="48" t="inlineStr">
        <is>
          <t>Governance</t>
        </is>
      </c>
      <c r="M6" s="48" t="inlineStr">
        <is>
          <t>Open</t>
        </is>
      </c>
    </row>
    <row r="7" ht="15" customHeight="1" s="37">
      <c r="A7" s="48" t="inlineStr">
        <is>
          <t>In Progress</t>
        </is>
      </c>
      <c r="B7" s="48" t="inlineStr">
        <is>
          <t>Medium</t>
        </is>
      </c>
      <c r="C7" s="48" t="inlineStr">
        <is>
          <t>2. Assessment Preparation</t>
        </is>
      </c>
      <c r="D7" s="48" t="inlineStr">
        <is>
          <t>Gate 2</t>
        </is>
      </c>
      <c r="E7" s="48" t="n"/>
      <c r="F7" s="48" t="inlineStr">
        <is>
          <t>Management Board</t>
        </is>
      </c>
      <c r="G7" s="48" t="inlineStr">
        <is>
          <t>Local</t>
        </is>
      </c>
      <c r="H7" s="48" t="inlineStr">
        <is>
          <t>Issue</t>
        </is>
      </c>
      <c r="I7" s="48" t="inlineStr">
        <is>
          <t>Medium</t>
        </is>
      </c>
      <c r="J7" s="48" t="inlineStr">
        <is>
          <t>A</t>
        </is>
      </c>
      <c r="K7" s="48" t="inlineStr">
        <is>
          <t>No</t>
        </is>
      </c>
      <c r="L7" s="48" t="inlineStr">
        <is>
          <t>Risk Management</t>
        </is>
      </c>
      <c r="M7" s="48" t="inlineStr">
        <is>
          <t>In Progress</t>
        </is>
      </c>
    </row>
    <row r="8" ht="15" customHeight="1" s="37">
      <c r="A8" s="48" t="inlineStr">
        <is>
          <t>Completed</t>
        </is>
      </c>
      <c r="B8" s="48" t="inlineStr">
        <is>
          <t>Low</t>
        </is>
      </c>
      <c r="C8" s="48" t="inlineStr">
        <is>
          <t>3. GAP Assessments</t>
        </is>
      </c>
      <c r="D8" s="48" t="inlineStr">
        <is>
          <t>Gate 3</t>
        </is>
      </c>
      <c r="E8" s="48" t="n"/>
      <c r="F8" s="48" t="inlineStr">
        <is>
          <t>IT Coordinator</t>
        </is>
      </c>
      <c r="H8" s="48" t="inlineStr">
        <is>
          <t>Decision</t>
        </is>
      </c>
      <c r="I8" s="48" t="inlineStr">
        <is>
          <t>Low</t>
        </is>
      </c>
      <c r="J8" s="48" t="inlineStr">
        <is>
          <t>C</t>
        </is>
      </c>
      <c r="L8" s="48" t="inlineStr">
        <is>
          <t>Incident Handling and Reporting</t>
        </is>
      </c>
      <c r="M8" s="48" t="inlineStr">
        <is>
          <t>Closed</t>
        </is>
      </c>
    </row>
    <row r="9" ht="15" customHeight="1" s="37">
      <c r="A9" s="48" t="inlineStr">
        <is>
          <t>Blocked</t>
        </is>
      </c>
      <c r="C9" s="48" t="inlineStr">
        <is>
          <t>4. Consolidation</t>
        </is>
      </c>
      <c r="D9" s="48" t="inlineStr">
        <is>
          <t>Gate 4</t>
        </is>
      </c>
      <c r="E9" s="48" t="n"/>
      <c r="F9" s="48" t="inlineStr">
        <is>
          <t>Central IT</t>
        </is>
      </c>
      <c r="J9" s="48" t="inlineStr">
        <is>
          <t>I</t>
        </is>
      </c>
      <c r="L9" s="48" t="inlineStr">
        <is>
          <t>Business Continuity</t>
        </is>
      </c>
      <c r="M9" s="48" t="inlineStr">
        <is>
          <t>Accepted</t>
        </is>
      </c>
    </row>
    <row r="10" ht="15" customHeight="1" s="37">
      <c r="A10" s="48" t="inlineStr">
        <is>
          <t>Deferred</t>
        </is>
      </c>
      <c r="C10" s="48" t="inlineStr">
        <is>
          <t>5. Remediation</t>
        </is>
      </c>
      <c r="D10" s="48" t="inlineStr">
        <is>
          <t>Gate 5</t>
        </is>
      </c>
      <c r="E10" s="48" t="n"/>
      <c r="F10" s="48" t="inlineStr">
        <is>
          <t>Local IT</t>
        </is>
      </c>
      <c r="J10" s="48" t="inlineStr">
        <is>
          <t>A/R</t>
        </is>
      </c>
      <c r="L10" s="48" t="inlineStr">
        <is>
          <t>Supply Chain Security</t>
        </is>
      </c>
      <c r="M10" s="48" t="inlineStr">
        <is>
          <t>Escalated</t>
        </is>
      </c>
    </row>
    <row r="11" ht="15" customHeight="1" s="37">
      <c r="A11" s="48" t="inlineStr">
        <is>
          <t>Cancelled</t>
        </is>
      </c>
      <c r="C11" s="48" t="inlineStr">
        <is>
          <t>6. Verification</t>
        </is>
      </c>
      <c r="D11" s="48" t="inlineStr">
        <is>
          <t>Gate 6</t>
        </is>
      </c>
      <c r="F11" s="48" t="inlineStr">
        <is>
          <t>MSP+IT</t>
        </is>
      </c>
      <c r="J11" s="48" t="inlineStr">
        <is>
          <t>-</t>
        </is>
      </c>
      <c r="L11" s="48" t="inlineStr">
        <is>
          <t>Access Control</t>
        </is>
      </c>
    </row>
    <row r="12" ht="15" customHeight="1" s="37">
      <c r="F12" s="48" t="inlineStr">
        <is>
          <t>Data Protection Officer</t>
        </is>
      </c>
      <c r="L12" s="48" t="inlineStr">
        <is>
          <t>Asset Management</t>
        </is>
      </c>
    </row>
    <row r="13" ht="15" customHeight="1" s="37">
      <c r="F13" s="48" t="inlineStr">
        <is>
          <t>HR</t>
        </is>
      </c>
      <c r="L13" s="48" t="inlineStr">
        <is>
          <t>Awareness and Training</t>
        </is>
      </c>
    </row>
    <row r="14" ht="15" customHeight="1" s="37">
      <c r="F14" s="48" t="inlineStr">
        <is>
          <t>IT Procurement</t>
        </is>
      </c>
      <c r="L14" s="48" t="inlineStr">
        <is>
          <t>Cryptography</t>
        </is>
      </c>
    </row>
    <row r="15" ht="15" customHeight="1" s="37">
      <c r="F15" s="48" t="inlineStr">
        <is>
          <t>OT</t>
        </is>
      </c>
      <c r="L15" s="48" t="inlineStr">
        <is>
          <t>Vulnerability Management</t>
        </is>
      </c>
    </row>
    <row r="16" ht="15" customHeight="1" s="37">
      <c r="F16" s="48" t="inlineStr">
        <is>
          <t>German External Adviser</t>
        </is>
      </c>
      <c r="L16" s="48" t="inlineStr">
        <is>
          <t>Logging and Monitoring</t>
        </is>
      </c>
    </row>
    <row r="17" ht="15" customHeight="1" s="37">
      <c r="F17" s="48" t="inlineStr">
        <is>
          <t>Dutch External Adviser</t>
        </is>
      </c>
      <c r="L17" s="48" t="inlineStr">
        <is>
          <t>Physical Security</t>
        </is>
      </c>
    </row>
    <row r="18" ht="15" customHeight="1" s="37">
      <c r="F18" s="48" t="inlineStr">
        <is>
          <t>Assigned Work-Package Owners</t>
        </is>
      </c>
      <c r="L18" s="48" t="inlineStr">
        <is>
          <t>Supplier and MSP Governance</t>
        </is>
      </c>
    </row>
  </sheetData>
  <printOptions horizontalCentered="1" verticalCentered="0" headings="0" gridLines="0" gridLinesSet="1"/>
  <pageMargins left="0.75" right="0.75" top="1" bottom="1" header="0.5" footer="0.5"/>
  <pageSetup orientation="landscape" paperSize="8" scale="100" fitToHeight="0" fitToWidth="1" pageOrder="downThenOver" blackAndWhite="0" draft="0" horizontalDpi="300" verticalDpi="300" copies="1"/>
  <headerFooter differentOddEven="0" differentFirst="0">
    <oddHeader>&amp;R&amp;8 Internal use</oddHeader>
    <oddFooter>&amp;L&amp;8 NIS2 Group Implementation Project&amp;R&amp;8 Page &amp;P of &amp;N</oddFooter>
    <evenHeader/>
    <evenFooter/>
    <firstHeader/>
    <firstFooter/>
  </headerFooter>
</worksheet>
</file>

<file path=xl/worksheets/sheet9.xml><?xml version="1.0" encoding="utf-8"?>
<worksheet xmlns="http://schemas.openxmlformats.org/spreadsheetml/2006/main">
  <sheetPr filterMode="0">
    <outlinePr summaryBelow="1" summaryRight="1"/>
    <pageSetUpPr fitToPage="1"/>
  </sheetPr>
  <dimension ref="A1:B55"/>
  <sheetViews>
    <sheetView showFormulas="0" showGridLines="1" showRowColHeaders="1" showZeros="1" rightToLeft="0" tabSelected="0" showOutlineSymbols="1" defaultGridColor="1" view="normal" topLeftCell="A28" colorId="64" zoomScale="100" zoomScaleNormal="100" zoomScalePageLayoutView="100" workbookViewId="0">
      <selection pane="topLeft" activeCell="A1" activeCellId="0" sqref="A1"/>
    </sheetView>
  </sheetViews>
  <sheetFormatPr baseColWidth="8" defaultColWidth="8.71484375" defaultRowHeight="15" zeroHeight="0" outlineLevelRow="0"/>
  <cols>
    <col width="38" customWidth="1" style="36" min="1" max="1"/>
    <col width="108" customWidth="1" style="36" min="2" max="2"/>
  </cols>
  <sheetData>
    <row r="1" ht="20.25" customHeight="1" s="37">
      <c r="A1" s="38" t="inlineStr">
        <is>
          <t>NIS2 Group Implementation Project</t>
        </is>
      </c>
    </row>
    <row r="2" ht="15.75" customHeight="1" s="37">
      <c r="A2" s="39" t="inlineStr">
        <is>
          <t>Instructions and Planning Principles</t>
        </is>
      </c>
    </row>
    <row r="3" ht="15" customHeight="1" s="37">
      <c r="A3" s="40" t="inlineStr">
        <is>
          <t>Reference sheet. It contains no project data and does not need to be maintained.</t>
        </is>
      </c>
    </row>
    <row r="4" ht="3" customHeight="1" s="37">
      <c r="A4" s="41" t="n"/>
      <c r="B4" s="41" t="n"/>
    </row>
    <row r="5" ht="15.75" customHeight="1" s="37">
      <c r="A5" s="39" t="inlineStr">
        <is>
          <t>How to Use This Workbook</t>
        </is>
      </c>
    </row>
    <row r="6" ht="30" customHeight="1" s="37">
      <c r="A6" s="42" t="inlineStr">
        <is>
          <t>Sheet</t>
        </is>
      </c>
      <c r="B6" s="42" t="inlineStr">
        <is>
          <t>Purpose</t>
        </is>
      </c>
    </row>
    <row r="7" ht="15" customHeight="1" s="37">
      <c r="A7" s="43" t="inlineStr">
        <is>
          <t>Dashboard</t>
        </is>
      </c>
      <c r="B7" s="44" t="inlineStr">
        <is>
          <t>Read-only overview. All figures are calculated from the other sheets.</t>
        </is>
      </c>
    </row>
    <row r="8" ht="15" customHeight="1" s="37">
      <c r="A8" s="43" t="inlineStr">
        <is>
          <t>Project Overview</t>
        </is>
      </c>
      <c r="B8" s="44" t="inlineStr">
        <is>
          <t>Scope, roles, cadence and success criteria of the project.</t>
        </is>
      </c>
    </row>
    <row r="9" ht="15" customHeight="1" s="37">
      <c r="A9" s="43" t="inlineStr">
        <is>
          <t>Master Plan</t>
        </is>
      </c>
      <c r="B9" s="44" t="inlineStr">
        <is>
          <t>The plan of record. Maintain status, priority and progress here.</t>
        </is>
      </c>
    </row>
    <row r="10" ht="15" customHeight="1" s="37">
      <c r="A10" s="43" t="inlineStr">
        <is>
          <t>Gantt</t>
        </is>
      </c>
      <c r="B10" s="44" t="inlineStr">
        <is>
          <t>Read-only weekly bar chart derived from the Master Plan.</t>
        </is>
      </c>
    </row>
    <row r="11" ht="15" customHeight="1" s="37">
      <c r="A11" s="43" t="inlineStr">
        <is>
          <t>Work Packages</t>
        </is>
      </c>
      <c r="B11" s="44" t="inlineStr">
        <is>
          <t>Remediation backlog. Populated only after Gate 3.</t>
        </is>
      </c>
    </row>
    <row r="12" ht="15" customHeight="1" s="37">
      <c r="A12" s="43" t="inlineStr">
        <is>
          <t>Governance and Gates</t>
        </is>
      </c>
      <c r="B12" s="44" t="inlineStr">
        <is>
          <t>Gate dates and decisions, RACI matrix and role notes.</t>
        </is>
      </c>
    </row>
    <row r="13" ht="15" customHeight="1" s="37">
      <c r="A13" s="43" t="inlineStr">
        <is>
          <t>Risks Issues Decisions</t>
        </is>
      </c>
      <c r="B13" s="44" t="inlineStr">
        <is>
          <t>Register for risks, issues and management decisions.</t>
        </is>
      </c>
    </row>
    <row r="14" ht="15" customHeight="1" s="37">
      <c r="A14" s="43" t="inlineStr">
        <is>
          <t>Lists</t>
        </is>
      </c>
      <c r="B14" s="44" t="inlineStr">
        <is>
          <t>Master data behind every drop-down. Extend here, not in the tables.</t>
        </is>
      </c>
    </row>
    <row r="17" ht="15.75" customHeight="1" s="37">
      <c r="A17" s="39" t="inlineStr">
        <is>
          <t>Editing Rules</t>
        </is>
      </c>
    </row>
    <row r="18" ht="30" customHeight="1" s="37">
      <c r="A18" s="42" t="inlineStr">
        <is>
          <t>Rule</t>
        </is>
      </c>
      <c r="B18" s="42" t="inlineStr">
        <is>
          <t>Explanation</t>
        </is>
      </c>
    </row>
    <row r="19" ht="15" customHeight="1" s="37">
      <c r="A19" s="43" t="inlineStr">
        <is>
          <t>White cells</t>
        </is>
      </c>
      <c r="B19" s="44" t="inlineStr">
        <is>
          <t>Input cells. Enter or change values here.</t>
        </is>
      </c>
    </row>
    <row r="20" ht="25.5" customHeight="1" s="37">
      <c r="A20" s="43" t="inlineStr">
        <is>
          <t>Shaded formula columns</t>
        </is>
      </c>
      <c r="B20" s="44" t="inlineStr">
        <is>
          <t>Calculated and protected: Duration, Gate Date, Schedule Status, WP ID, Due Status and every figure on the Dashboard and Gantt sheet.</t>
        </is>
      </c>
    </row>
    <row r="21" ht="15" customHeight="1" s="37">
      <c r="A21" s="43" t="inlineStr">
        <is>
          <t>Sheet protection</t>
        </is>
      </c>
      <c r="B21" s="44" t="inlineStr">
        <is>
          <t>Applied without a password. Review &gt; Unprotect Sheet if a formula has to be changed.</t>
        </is>
      </c>
    </row>
    <row r="22" ht="15" customHeight="1" s="37">
      <c r="A22" s="43" t="inlineStr">
        <is>
          <t>Drop-downs</t>
        </is>
      </c>
      <c r="B22" s="44" t="inlineStr">
        <is>
          <t>Status, priority, phase, gate, entity, owner and rating values come from the Lists sheet.</t>
        </is>
      </c>
    </row>
    <row r="23" ht="15" customHeight="1" s="37">
      <c r="A23" s="43" t="inlineStr">
        <is>
          <t>Adding rows</t>
        </is>
      </c>
      <c r="B23" s="44" t="inlineStr">
        <is>
          <t>Type into the first empty row of a table; formulas and formatting extend automatically.</t>
        </is>
      </c>
    </row>
    <row r="24" ht="15" customHeight="1" s="37">
      <c r="A24" s="43" t="inlineStr">
        <is>
          <t>New picklist values</t>
        </is>
      </c>
      <c r="B24" s="44" t="inlineStr">
        <is>
          <t>Add the value at the end of the column on the Lists sheet, then extend the named range under Formulas &gt; Name Manager.</t>
        </is>
      </c>
    </row>
    <row r="25" ht="15" customHeight="1" s="37">
      <c r="A25" s="43" t="inlineStr">
        <is>
          <t>Gate dates</t>
        </is>
      </c>
      <c r="B25" s="44" t="inlineStr">
        <is>
          <t>Maintain on the Governance and Gates sheet only. The Master Plan reads them automatically.</t>
        </is>
      </c>
    </row>
    <row r="26" ht="15" customHeight="1" s="37">
      <c r="A26" s="43" t="inlineStr">
        <is>
          <t>Dates</t>
        </is>
      </c>
      <c r="B26" s="44" t="inlineStr">
        <is>
          <t>Enter as real dates in the format YYYY-MM-DD, never as text.</t>
        </is>
      </c>
    </row>
    <row r="29" ht="15.75" customHeight="1" s="37">
      <c r="A29" s="39" t="inlineStr">
        <is>
          <t>Planning Principles</t>
        </is>
      </c>
    </row>
    <row r="30" ht="30" customHeight="1" s="37">
      <c r="A30" s="42" t="inlineStr">
        <is>
          <t>Principle</t>
        </is>
      </c>
      <c r="B30" s="42" t="inlineStr">
        <is>
          <t>Application</t>
        </is>
      </c>
    </row>
    <row r="31" ht="25.5" customHeight="1" s="37">
      <c r="A31" s="43" t="inlineStr">
        <is>
          <t>Keep project management proportionate</t>
        </is>
      </c>
      <c r="B31" s="44" t="inlineStr">
        <is>
          <t>Maintain only information required for decisions, ownership, deadlines and escalation</t>
        </is>
      </c>
    </row>
    <row r="32" ht="15" customHeight="1" s="37">
      <c r="A32" s="43" t="inlineStr">
        <is>
          <t>Avoid duplicate records</t>
        </is>
      </c>
      <c r="B32" s="44" t="inlineStr">
        <is>
          <t>Detailed findings remain in the GAP Analysis workbook; this workbook references their Finding IDs</t>
        </is>
      </c>
    </row>
    <row r="33" ht="15" customHeight="1" s="37">
      <c r="A33" s="43" t="inlineStr">
        <is>
          <t>Separate assessment from remediation</t>
        </is>
      </c>
      <c r="B33" s="44" t="inlineStr">
        <is>
          <t>Do not define detailed remediation work packages before the assessments are complete</t>
        </is>
      </c>
    </row>
    <row r="34" ht="15" customHeight="1" s="37">
      <c r="A34" s="43" t="inlineStr">
        <is>
          <t>Prefer reusable group controls</t>
        </is>
      </c>
      <c r="B34" s="44" t="inlineStr">
        <is>
          <t>Prioritise central policies, processes and technical controls that cover several entities</t>
        </is>
      </c>
    </row>
    <row r="35" ht="15" customHeight="1" s="37">
      <c r="A35" s="43" t="inlineStr">
        <is>
          <t>Preserve entity accountability</t>
        </is>
      </c>
      <c r="B35" s="44" t="inlineStr">
        <is>
          <t>Each legal entity must confirm local governance, reporting routes, responsibilities and applicability</t>
        </is>
      </c>
    </row>
    <row r="36" ht="15" customHeight="1" s="37">
      <c r="A36" s="43" t="inlineStr">
        <is>
          <t>Use realistic deadlines</t>
        </is>
      </c>
      <c r="B36" s="44" t="inlineStr">
        <is>
          <t>Schedule work around operational commitments and limited external-adviser availability</t>
        </is>
      </c>
    </row>
    <row r="37" ht="15" customHeight="1" s="37">
      <c r="A37" s="43" t="inlineStr">
        <is>
          <t>Document decisions</t>
        </is>
      </c>
      <c r="B37" s="44" t="inlineStr">
        <is>
          <t>Record scope decisions, risk acceptance, major changes and management approvals</t>
        </is>
      </c>
    </row>
    <row r="38" ht="15" customHeight="1" s="37">
      <c r="A38" s="43" t="inlineStr">
        <is>
          <t>Verify completion</t>
        </is>
      </c>
      <c r="B38" s="44" t="inlineStr">
        <is>
          <t>A work package is complete only when its acceptance criterion and expected evidence are available</t>
        </is>
      </c>
    </row>
    <row r="41" ht="15.75" customHeight="1" s="37">
      <c r="A41" s="39" t="inlineStr">
        <is>
          <t>Work Package Rules</t>
        </is>
      </c>
    </row>
    <row r="42" ht="30" customHeight="1" s="37">
      <c r="A42" s="42" t="inlineStr">
        <is>
          <t>Rule</t>
        </is>
      </c>
      <c r="B42" s="42" t="inlineStr">
        <is>
          <t>Instruction</t>
        </is>
      </c>
    </row>
    <row r="43" ht="15" customHeight="1" s="37">
      <c r="A43" s="43" t="inlineStr">
        <is>
          <t>Creation point</t>
        </is>
      </c>
      <c r="B43" s="44" t="inlineStr">
        <is>
          <t>Create work packages only after finding validation and management approval</t>
        </is>
      </c>
    </row>
    <row r="44" ht="15" customHeight="1" s="37">
      <c r="A44" s="43" t="inlineStr">
        <is>
          <t>Finding link</t>
        </is>
      </c>
      <c r="B44" s="44" t="inlineStr">
        <is>
          <t>Copy the Finding ID from the final GAP Analysis Action Plan</t>
        </is>
      </c>
    </row>
    <row r="45" ht="15" customHeight="1" s="37">
      <c r="A45" s="43" t="inlineStr">
        <is>
          <t>Central or Local</t>
        </is>
      </c>
      <c r="B45" s="44" t="inlineStr">
        <is>
          <t>Use Central where one HQ measure covers several entities; otherwise use Local</t>
        </is>
      </c>
    </row>
    <row r="46" ht="15" customHeight="1" s="37">
      <c r="A46" s="43" t="inlineStr">
        <is>
          <t>Priority</t>
        </is>
      </c>
      <c r="B46" s="44" t="inlineStr">
        <is>
          <t>Use High, Medium or Low</t>
        </is>
      </c>
    </row>
    <row r="47" ht="15" customHeight="1" s="37">
      <c r="A47" s="43" t="inlineStr">
        <is>
          <t>Acceptance criterion</t>
        </is>
      </c>
      <c r="B47" s="44" t="inlineStr">
        <is>
          <t>Describe the observable condition that must be satisfied before closure</t>
        </is>
      </c>
    </row>
    <row r="48" ht="15" customHeight="1" s="37">
      <c r="A48" s="43" t="inlineStr">
        <is>
          <t>Expected evidence</t>
        </is>
      </c>
      <c r="B48" s="44" t="inlineStr">
        <is>
          <t>Identify the document, record, report, configuration export or test result required</t>
        </is>
      </c>
    </row>
    <row r="49" ht="15" customHeight="1" s="37">
      <c r="A49" s="43" t="inlineStr">
        <is>
          <t>Closure</t>
        </is>
      </c>
      <c r="B49" s="44" t="inlineStr">
        <is>
          <t>Set status to Completed only after evidence has been reviewed</t>
        </is>
      </c>
    </row>
    <row r="51" ht="15" customHeight="1" s="37">
      <c r="A51" s="56" t="inlineStr">
        <is>
          <t>Version 2.0 changes</t>
        </is>
      </c>
    </row>
    <row r="52" ht="42" customHeight="1" s="37">
      <c r="A52" s="71" t="inlineStr">
        <is>
          <t>Assessment scope</t>
        </is>
      </c>
      <c r="B52" s="71" t="inlineStr">
        <is>
          <t>The GAP questionnaire now covers the 161 requirements of the Annex to Commission Implementing Regulation (EU) 2024/2690 plus 13 national requirements on incident reporting, registration, management responsibility and OT, for each entity. Assessment windows in phase 3 were extended from three to five weeks per entity.</t>
        </is>
      </c>
    </row>
    <row r="53" ht="42" customHeight="1" s="37">
      <c r="A53" s="71" t="inlineStr">
        <is>
          <t>New activity P1.5</t>
        </is>
      </c>
      <c r="B53" s="71" t="inlineStr">
        <is>
          <t>Gate 1 now also covers the management decision to apply Implementing Regulation (EU) 2024/2690 as the assessment benchmark, and the approval of the chapter target levels and the scoring model.</t>
        </is>
      </c>
    </row>
    <row r="54" ht="42" customHeight="1" s="37">
      <c r="A54" s="71" t="inlineStr">
        <is>
          <t>P1.4 and P2.1</t>
        </is>
      </c>
      <c r="B54" s="71" t="inlineStr">
        <is>
          <t>Extended to cover the scope conventions for requirements operated centrally at HQ and the pre-population of that scope in the GAP workbook before the interviews start.</t>
        </is>
      </c>
    </row>
    <row r="55" ht="42" customHeight="1" s="37">
      <c r="A55" s="71" t="inlineStr">
        <is>
          <t>Schedule</t>
        </is>
      </c>
      <c r="B55" s="71" t="inlineStr">
        <is>
          <t>Re-based on a kick-off in the week of 28 September 2026. Planned completion moved from 30 September 2027 to 30 November 2027. Gate dates were shifted accordingly.</t>
        </is>
      </c>
    </row>
  </sheetData>
  <printOptions horizontalCentered="1" verticalCentered="0" headings="0" gridLines="0" gridLinesSet="1"/>
  <pageMargins left="0.75" right="0.75" top="1" bottom="1" header="0.5" footer="0.5"/>
  <pageSetup orientation="portrait" paperSize="9" scale="100" fitToHeight="0" fitToWidth="1" pageOrder="downThenOver" blackAndWhite="0" draft="0" horizontalDpi="300" verticalDpi="300" copies="1"/>
  <headerFooter differentOddEven="0" differentFirst="0">
    <oddHeader>&amp;R&amp;8 Internal use</oddHeader>
    <oddFooter>&amp;L&amp;8 NIS2 Group Implementation Project&amp;R&amp;8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language xmlns:dc="http://purl.org/dc/elements/1.1/">en-US</dc:language>
  <dcterms:created xmlns:dcterms="http://purl.org/dc/terms/" xmlns:xsi="http://www.w3.org/2001/XMLSchema-instance" xsi:type="dcterms:W3CDTF">2026-09-01T13:17:15Z</dcterms:created>
  <dcterms:modified xmlns:dcterms="http://purl.org/dc/terms/" xmlns:xsi="http://www.w3.org/2001/XMLSchema-instance" xsi:type="dcterms:W3CDTF">2026-10-27T10:13:12Z</dcterms:modified>
  <cp:lastModifiedBy/>
  <cp:revision>0</cp:revision>
</cp:coreProperties>
</file>